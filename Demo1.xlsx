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KnowledgeHut\"/>
    </mc:Choice>
  </mc:AlternateContent>
  <xr:revisionPtr revIDLastSave="0" documentId="13_ncr:1_{22BC528B-041C-4BCD-8043-6B145C13DA3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lative Reference" sheetId="1" r:id="rId1"/>
    <sheet name="Absolute Reference" sheetId="2" r:id="rId2"/>
    <sheet name="Mixed Reference" sheetId="3" r:id="rId3"/>
    <sheet name="Formu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4" l="1"/>
  <c r="J29" i="4"/>
  <c r="J24" i="4"/>
  <c r="L2" i="4" a="1"/>
  <c r="L2" i="4" s="1"/>
  <c r="J28" i="4"/>
  <c r="J27" i="4"/>
  <c r="J26" i="4"/>
  <c r="J25" i="4"/>
  <c r="J23" i="4"/>
  <c r="BH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" i="4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" i="4"/>
  <c r="BF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" i="4"/>
  <c r="D3" i="4"/>
  <c r="D2" i="4"/>
  <c r="D5" i="4" s="1"/>
  <c r="BD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" i="4"/>
  <c r="BB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" i="4"/>
  <c r="BA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" i="4"/>
  <c r="D11" i="3"/>
  <c r="E11" i="3"/>
  <c r="F11" i="3"/>
  <c r="G11" i="3"/>
  <c r="D10" i="3"/>
  <c r="E10" i="3"/>
  <c r="F10" i="3"/>
  <c r="G10" i="3"/>
  <c r="D9" i="3"/>
  <c r="E9" i="3"/>
  <c r="F9" i="3"/>
  <c r="G9" i="3"/>
  <c r="D8" i="3"/>
  <c r="E8" i="3"/>
  <c r="F8" i="3"/>
  <c r="G8" i="3"/>
  <c r="C8" i="3"/>
  <c r="C9" i="3"/>
  <c r="C10" i="3"/>
  <c r="C11" i="3"/>
  <c r="D7" i="3"/>
  <c r="E7" i="3"/>
  <c r="F7" i="3"/>
  <c r="G7" i="3"/>
  <c r="C7" i="3"/>
  <c r="C4" i="2"/>
  <c r="C5" i="2"/>
  <c r="C6" i="2"/>
  <c r="C7" i="2"/>
  <c r="C3" i="2"/>
  <c r="D4" i="1"/>
  <c r="D3" i="1"/>
  <c r="D2" i="1"/>
  <c r="BI17" i="4" l="1"/>
  <c r="BI5" i="4"/>
  <c r="BI13" i="4"/>
  <c r="BI15" i="4"/>
  <c r="BI3" i="4"/>
  <c r="BI19" i="4"/>
  <c r="BI7" i="4"/>
  <c r="BI14" i="4"/>
  <c r="BI12" i="4"/>
  <c r="BI11" i="4"/>
  <c r="BI10" i="4"/>
  <c r="BI2" i="4"/>
  <c r="BI9" i="4"/>
  <c r="BI20" i="4"/>
  <c r="BI8" i="4"/>
  <c r="BI16" i="4"/>
  <c r="BI4" i="4"/>
  <c r="BI18" i="4"/>
  <c r="BI6" i="4"/>
  <c r="D8" i="4"/>
  <c r="D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<sst xmlns="http://schemas.openxmlformats.org/spreadsheetml/2006/main" count="500" uniqueCount="161">
  <si>
    <t>Month</t>
  </si>
  <si>
    <t>Total Revenue</t>
  </si>
  <si>
    <t>Total Expenses</t>
  </si>
  <si>
    <t>Total Income</t>
  </si>
  <si>
    <t>Jan</t>
  </si>
  <si>
    <t>Feb</t>
  </si>
  <si>
    <t>March</t>
  </si>
  <si>
    <t>Name</t>
  </si>
  <si>
    <t>Grades</t>
  </si>
  <si>
    <t>Percentage</t>
  </si>
  <si>
    <t>A</t>
  </si>
  <si>
    <t>B</t>
  </si>
  <si>
    <t>C</t>
  </si>
  <si>
    <t>D</t>
  </si>
  <si>
    <t>E</t>
  </si>
  <si>
    <t>Max Score</t>
  </si>
  <si>
    <t>Column Header</t>
  </si>
  <si>
    <t>Row Header</t>
  </si>
  <si>
    <t>TRIM</t>
  </si>
  <si>
    <t>LEFT</t>
  </si>
  <si>
    <t>PROPER</t>
  </si>
  <si>
    <t>RIGHT</t>
  </si>
  <si>
    <t>UPPER</t>
  </si>
  <si>
    <t>MID</t>
  </si>
  <si>
    <t>LOWER</t>
  </si>
  <si>
    <t>CONCATENATE</t>
  </si>
  <si>
    <t>LEN</t>
  </si>
  <si>
    <t>FIND</t>
  </si>
  <si>
    <t>REPLACE</t>
  </si>
  <si>
    <t>SEARCH</t>
  </si>
  <si>
    <t>SUBSTITUTE</t>
  </si>
  <si>
    <t>order_id</t>
  </si>
  <si>
    <t>order_date</t>
  </si>
  <si>
    <t>status</t>
  </si>
  <si>
    <t>item_id</t>
  </si>
  <si>
    <t>sku</t>
  </si>
  <si>
    <t>qty_ordered</t>
  </si>
  <si>
    <t>price</t>
  </si>
  <si>
    <t>value</t>
  </si>
  <si>
    <t>discount_amount</t>
  </si>
  <si>
    <t>total</t>
  </si>
  <si>
    <t>category</t>
  </si>
  <si>
    <t>payment_method</t>
  </si>
  <si>
    <t>bi_st</t>
  </si>
  <si>
    <t>cust_id</t>
  </si>
  <si>
    <t>year</t>
  </si>
  <si>
    <t>month</t>
  </si>
  <si>
    <t>ref_num</t>
  </si>
  <si>
    <t>Name Prefix</t>
  </si>
  <si>
    <t>First Name</t>
  </si>
  <si>
    <t>Middle Initial</t>
  </si>
  <si>
    <t>Last Name</t>
  </si>
  <si>
    <t>Gender</t>
  </si>
  <si>
    <t>age</t>
  </si>
  <si>
    <t>full_name</t>
  </si>
  <si>
    <t>E Mail</t>
  </si>
  <si>
    <t>Customer Since</t>
  </si>
  <si>
    <t>SSN</t>
  </si>
  <si>
    <t xml:space="preserve">Phone No. </t>
  </si>
  <si>
    <t>Place Name</t>
  </si>
  <si>
    <t>County</t>
  </si>
  <si>
    <t>City</t>
  </si>
  <si>
    <t>State</t>
  </si>
  <si>
    <t>Zip</t>
  </si>
  <si>
    <t>Region</t>
  </si>
  <si>
    <t>User Name</t>
  </si>
  <si>
    <t>Discount_Percent</t>
  </si>
  <si>
    <t>received</t>
  </si>
  <si>
    <t>oasis_Oasis-064-36</t>
  </si>
  <si>
    <t>Men's Fashion</t>
  </si>
  <si>
    <t>cod</t>
  </si>
  <si>
    <t>Valid</t>
  </si>
  <si>
    <t>Drs.</t>
  </si>
  <si>
    <t>Jani</t>
  </si>
  <si>
    <t>W</t>
  </si>
  <si>
    <t>Titus</t>
  </si>
  <si>
    <t>F</t>
  </si>
  <si>
    <t>Titus, Jani</t>
  </si>
  <si>
    <t>jani.titus@gmail.com</t>
  </si>
  <si>
    <t>8/22/2006</t>
  </si>
  <si>
    <t>627-31-5251</t>
  </si>
  <si>
    <t>405-959-1129</t>
  </si>
  <si>
    <t>Vinson</t>
  </si>
  <si>
    <t>Harmon</t>
  </si>
  <si>
    <t>OK</t>
  </si>
  <si>
    <t>South</t>
  </si>
  <si>
    <t>jwtitus</t>
  </si>
  <si>
    <t>Fantastic_FT-48</t>
  </si>
  <si>
    <t>complete</t>
  </si>
  <si>
    <t>mdeal_DMC-610-8</t>
  </si>
  <si>
    <t>Net</t>
  </si>
  <si>
    <t>oasis_Oasis-061-36</t>
  </si>
  <si>
    <t>MEFNAR59C38B6CA08CD</t>
  </si>
  <si>
    <t>MEFBUY59B7C3DDC2CA3-42</t>
  </si>
  <si>
    <t>order_refunded</t>
  </si>
  <si>
    <t>MATDAN59C3C845B38F0</t>
  </si>
  <si>
    <t>Mobiles &amp; Tablets</t>
  </si>
  <si>
    <t>canceled</t>
  </si>
  <si>
    <t>GFE_19_USBLEDLight</t>
  </si>
  <si>
    <t>Payaxis</t>
  </si>
  <si>
    <t>Gross</t>
  </si>
  <si>
    <t>Prof.</t>
  </si>
  <si>
    <t>Lee</t>
  </si>
  <si>
    <t>S</t>
  </si>
  <si>
    <t>Eaker</t>
  </si>
  <si>
    <t>M</t>
  </si>
  <si>
    <t>Eaker, Lee</t>
  </si>
  <si>
    <t>lee.eaker@gmail.com</t>
  </si>
  <si>
    <t>02-04-1981</t>
  </si>
  <si>
    <t>185-86-4345</t>
  </si>
  <si>
    <t>239-335-6755</t>
  </si>
  <si>
    <t>Graham</t>
  </si>
  <si>
    <t>Bradford</t>
  </si>
  <si>
    <t>FL</t>
  </si>
  <si>
    <t>lseaker</t>
  </si>
  <si>
    <t>oasis_Kingston-32GB-DTIG4</t>
  </si>
  <si>
    <t>Computing</t>
  </si>
  <si>
    <t>Geepas_GSB5420</t>
  </si>
  <si>
    <t>Appliances</t>
  </si>
  <si>
    <t>APPGEE59ADBEEE2EB9D</t>
  </si>
  <si>
    <t>APPWES59CA4D59CB41A</t>
  </si>
  <si>
    <t>Easypay</t>
  </si>
  <si>
    <t>APPPHI5A09939191938</t>
  </si>
  <si>
    <t>HALSHO59F836EF959B9</t>
  </si>
  <si>
    <t>Home &amp; Living</t>
  </si>
  <si>
    <t xml:space="preserve">     Jani</t>
  </si>
  <si>
    <t xml:space="preserve">     Lee</t>
  </si>
  <si>
    <t>UNITEd state</t>
  </si>
  <si>
    <t>BASIC TEXT Formula</t>
  </si>
  <si>
    <t>Advance TEXT Formula</t>
  </si>
  <si>
    <t>DATE Function</t>
  </si>
  <si>
    <t>TODAY</t>
  </si>
  <si>
    <t>Now</t>
  </si>
  <si>
    <t>day</t>
  </si>
  <si>
    <t>date</t>
  </si>
  <si>
    <t>edate</t>
  </si>
  <si>
    <t>Basic TEXT Fromulas</t>
  </si>
  <si>
    <t>ADVANCE Text FORMULAS</t>
  </si>
  <si>
    <t>Date Formulas</t>
  </si>
  <si>
    <t>Mathematic Function</t>
  </si>
  <si>
    <t>SUM</t>
  </si>
  <si>
    <t>SUMIF</t>
  </si>
  <si>
    <t>Criteria</t>
  </si>
  <si>
    <t>COUNT</t>
  </si>
  <si>
    <t>COUNTIF</t>
  </si>
  <si>
    <t>COUNTA</t>
  </si>
  <si>
    <t>COUNTBLANK</t>
  </si>
  <si>
    <t>Affordability</t>
  </si>
  <si>
    <t>IF</t>
  </si>
  <si>
    <t>VLOOKUP</t>
  </si>
  <si>
    <t>Relative reference is a way to replicate the formula of one cell to another</t>
  </si>
  <si>
    <t>CTRL+ENTER</t>
  </si>
  <si>
    <t>ctrl+`</t>
  </si>
  <si>
    <t>to show formula reference</t>
  </si>
  <si>
    <t xml:space="preserve">Formula </t>
  </si>
  <si>
    <t>Individual Number/100(constan number)</t>
  </si>
  <si>
    <t>Absolute Reference is an option to select on particular cell as the fixed value for all calculation</t>
  </si>
  <si>
    <t>Fn+F4</t>
  </si>
  <si>
    <t>to fix row</t>
  </si>
  <si>
    <t>In mixed reference, we fix any particular row or column based on the requirement</t>
  </si>
  <si>
    <t>To fix that particular row or column, the user has to put $ in front of the column or row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</si>
</sst>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dd\,\ d\ mmmm\,\ yyyy;@"/>
    <numFmt numFmtId="165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6">
    <xf numFmtId="0" fontId="0" fillId="0" borderId="0" xfId="0"/>
    <xf numFmtId="10" fontId="0" fillId="0" borderId="0" xfId="1" applyNumberFormat="1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1" xfId="0" applyFill="1" applyBorder="1"/>
    <xf numFmtId="164" fontId="0" fillId="4" borderId="2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  <xf numFmtId="0" fontId="0" fillId="4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3" fillId="3" borderId="0" xfId="0" applyFont="1" applyFill="1" applyAlignment="1">
      <alignment horizontal="center"/>
    </xf>
    <xf numFmtId="0" fontId="2" fillId="2" borderId="0" xfId="2" applyAlignment="1">
      <alignment horizontal="center"/>
    </xf>
    <xf numFmtId="0" fontId="0" fillId="0" borderId="0" xfId="0" applyAlignment="1"/>
    <xf numFmtId="0" fontId="0" fillId="5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horizontal="center"/>
    </xf>
  </cellXfs>
  <cellStyles count="3">
    <cellStyle name="Good" xfId="2" builtinId="26"/>
    <cellStyle name="Normal" xfId="0" builtinId="0"/>
    <cellStyle name="Percent" xfId="1" builtinId="5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0A098492-0E92-4E86-BDFA-1711B03243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0</xdr:row>
      <xdr:rowOff>127000</xdr:rowOff>
    </xdr:from>
    <xdr:to>
      <xdr:col>6</xdr:col>
      <xdr:colOff>552450</xdr:colOff>
      <xdr:row>3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38D09C-6C52-5503-E12B-B977A7F4B5CC}"/>
            </a:ext>
          </a:extLst>
        </xdr:cNvPr>
        <xdr:cNvSpPr txBox="1"/>
      </xdr:nvSpPr>
      <xdr:spPr>
        <a:xfrm>
          <a:off x="584200" y="127000"/>
          <a:ext cx="36258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Multiplication Table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Formulas="1" workbookViewId="0">
      <selection activeCell="B10" sqref="B10"/>
    </sheetView>
  </sheetViews>
  <sheetFormatPr defaultRowHeight="14.5" x14ac:dyDescent="0.35"/>
  <cols>
    <col min="2" max="2" width="12.6328125" bestFit="1" customWidth="1"/>
    <col min="3" max="3" width="13.26953125" bestFit="1" customWidth="1"/>
    <col min="4" max="4" width="11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>
        <v>1000</v>
      </c>
      <c r="C2">
        <v>200</v>
      </c>
      <c r="D2">
        <f>B2-C2</f>
        <v>800</v>
      </c>
    </row>
    <row r="3" spans="1:6" x14ac:dyDescent="0.35">
      <c r="A3" t="s">
        <v>5</v>
      </c>
      <c r="B3">
        <v>1500</v>
      </c>
      <c r="C3">
        <v>350</v>
      </c>
      <c r="D3">
        <f t="shared" ref="D3:D4" si="0">B3-C3</f>
        <v>1150</v>
      </c>
    </row>
    <row r="4" spans="1:6" x14ac:dyDescent="0.35">
      <c r="A4" t="s">
        <v>6</v>
      </c>
      <c r="B4">
        <v>7500</v>
      </c>
      <c r="C4">
        <v>435</v>
      </c>
      <c r="D4">
        <f t="shared" si="0"/>
        <v>7065</v>
      </c>
    </row>
    <row r="7" spans="1:6" x14ac:dyDescent="0.35">
      <c r="A7" s="18" t="s">
        <v>150</v>
      </c>
      <c r="B7" s="18"/>
      <c r="C7" s="18"/>
      <c r="D7" s="18"/>
      <c r="E7" s="18"/>
      <c r="F7" s="18"/>
    </row>
    <row r="9" spans="1:6" x14ac:dyDescent="0.35">
      <c r="A9" t="s">
        <v>151</v>
      </c>
    </row>
    <row r="10" spans="1:6" x14ac:dyDescent="0.35">
      <c r="A10" t="s">
        <v>152</v>
      </c>
      <c r="B10" t="s">
        <v>153</v>
      </c>
    </row>
  </sheetData>
  <mergeCells count="1"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6A91-7F07-4539-9DE6-1C3C39BC1FA6}">
  <dimension ref="A1:I14"/>
  <sheetViews>
    <sheetView workbookViewId="0">
      <selection activeCell="C15" sqref="C15"/>
    </sheetView>
  </sheetViews>
  <sheetFormatPr defaultRowHeight="14.5" x14ac:dyDescent="0.35"/>
  <sheetData>
    <row r="1" spans="1:9" x14ac:dyDescent="0.35">
      <c r="A1" t="s">
        <v>7</v>
      </c>
      <c r="B1" t="s">
        <v>8</v>
      </c>
      <c r="C1" t="s">
        <v>9</v>
      </c>
    </row>
    <row r="2" spans="1:9" x14ac:dyDescent="0.35">
      <c r="A2" t="s">
        <v>15</v>
      </c>
      <c r="B2">
        <v>100</v>
      </c>
    </row>
    <row r="3" spans="1:9" x14ac:dyDescent="0.35">
      <c r="A3" t="s">
        <v>10</v>
      </c>
      <c r="B3">
        <v>60</v>
      </c>
      <c r="C3" s="1">
        <f>B3/$B$2</f>
        <v>0.6</v>
      </c>
    </row>
    <row r="4" spans="1:9" x14ac:dyDescent="0.35">
      <c r="A4" t="s">
        <v>11</v>
      </c>
      <c r="B4">
        <v>56</v>
      </c>
      <c r="C4" s="1">
        <f t="shared" ref="C4:C7" si="0">B4/$B$2</f>
        <v>0.56000000000000005</v>
      </c>
    </row>
    <row r="5" spans="1:9" x14ac:dyDescent="0.35">
      <c r="A5" t="s">
        <v>12</v>
      </c>
      <c r="B5">
        <v>66</v>
      </c>
      <c r="C5" s="1">
        <f t="shared" si="0"/>
        <v>0.66</v>
      </c>
    </row>
    <row r="6" spans="1:9" x14ac:dyDescent="0.35">
      <c r="A6" t="s">
        <v>13</v>
      </c>
      <c r="B6">
        <v>79</v>
      </c>
      <c r="C6" s="1">
        <f t="shared" si="0"/>
        <v>0.79</v>
      </c>
    </row>
    <row r="7" spans="1:9" x14ac:dyDescent="0.35">
      <c r="A7" t="s">
        <v>14</v>
      </c>
      <c r="B7">
        <v>96</v>
      </c>
      <c r="C7" s="1">
        <f t="shared" si="0"/>
        <v>0.96</v>
      </c>
    </row>
    <row r="10" spans="1:9" x14ac:dyDescent="0.35">
      <c r="A10" t="s">
        <v>154</v>
      </c>
      <c r="B10" s="22" t="s">
        <v>155</v>
      </c>
      <c r="C10" s="22"/>
    </row>
    <row r="12" spans="1:9" x14ac:dyDescent="0.35">
      <c r="A12" s="18" t="s">
        <v>156</v>
      </c>
      <c r="B12" s="18"/>
      <c r="C12" s="18"/>
      <c r="D12" s="18"/>
      <c r="E12" s="18"/>
      <c r="F12" s="18"/>
      <c r="G12" s="18"/>
      <c r="H12" s="18"/>
      <c r="I12" s="18"/>
    </row>
    <row r="14" spans="1:9" x14ac:dyDescent="0.35">
      <c r="A14" t="s">
        <v>157</v>
      </c>
      <c r="B14" t="s">
        <v>158</v>
      </c>
    </row>
  </sheetData>
  <mergeCells count="1">
    <mergeCell ref="A12:I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1B0D-9F4B-4DA0-9973-D1A08D38E54A}">
  <dimension ref="A5:I15"/>
  <sheetViews>
    <sheetView workbookViewId="0">
      <selection activeCell="B5" sqref="B5:G5"/>
    </sheetView>
  </sheetViews>
  <sheetFormatPr defaultRowHeight="14.5" x14ac:dyDescent="0.35"/>
  <sheetData>
    <row r="5" spans="1:9" x14ac:dyDescent="0.35">
      <c r="B5" s="18" t="s">
        <v>16</v>
      </c>
      <c r="C5" s="18"/>
      <c r="D5" s="18"/>
      <c r="E5" s="18"/>
      <c r="F5" s="18"/>
      <c r="G5" s="18"/>
    </row>
    <row r="6" spans="1:9" x14ac:dyDescent="0.35">
      <c r="A6" s="19" t="s">
        <v>17</v>
      </c>
      <c r="C6">
        <v>1</v>
      </c>
      <c r="D6">
        <v>2</v>
      </c>
      <c r="E6">
        <v>3</v>
      </c>
      <c r="F6">
        <v>4</v>
      </c>
      <c r="G6">
        <v>5</v>
      </c>
    </row>
    <row r="7" spans="1:9" x14ac:dyDescent="0.35">
      <c r="A7" s="19"/>
      <c r="B7">
        <v>10</v>
      </c>
      <c r="C7">
        <f>$B7*C$6</f>
        <v>10</v>
      </c>
      <c r="D7">
        <f t="shared" ref="D7:G7" si="0">$B7*D$6</f>
        <v>20</v>
      </c>
      <c r="E7">
        <f t="shared" si="0"/>
        <v>30</v>
      </c>
      <c r="F7">
        <f t="shared" si="0"/>
        <v>40</v>
      </c>
      <c r="G7">
        <f t="shared" si="0"/>
        <v>50</v>
      </c>
    </row>
    <row r="8" spans="1:9" x14ac:dyDescent="0.35">
      <c r="A8" s="19"/>
      <c r="B8">
        <v>20</v>
      </c>
      <c r="C8">
        <f t="shared" ref="C8:G11" si="1">$B8*C$6</f>
        <v>20</v>
      </c>
      <c r="D8">
        <f t="shared" si="1"/>
        <v>40</v>
      </c>
      <c r="E8">
        <f t="shared" si="1"/>
        <v>60</v>
      </c>
      <c r="F8">
        <f t="shared" si="1"/>
        <v>80</v>
      </c>
      <c r="G8">
        <f t="shared" si="1"/>
        <v>100</v>
      </c>
    </row>
    <row r="9" spans="1:9" x14ac:dyDescent="0.35">
      <c r="A9" s="19"/>
      <c r="B9">
        <v>30</v>
      </c>
      <c r="C9">
        <f t="shared" si="1"/>
        <v>30</v>
      </c>
      <c r="D9">
        <f t="shared" si="1"/>
        <v>60</v>
      </c>
      <c r="E9">
        <f t="shared" si="1"/>
        <v>90</v>
      </c>
      <c r="F9">
        <f t="shared" si="1"/>
        <v>120</v>
      </c>
      <c r="G9">
        <f t="shared" si="1"/>
        <v>150</v>
      </c>
    </row>
    <row r="10" spans="1:9" x14ac:dyDescent="0.35">
      <c r="A10" s="19"/>
      <c r="B10">
        <v>40</v>
      </c>
      <c r="C10">
        <f t="shared" si="1"/>
        <v>40</v>
      </c>
      <c r="D10">
        <f t="shared" si="1"/>
        <v>80</v>
      </c>
      <c r="E10">
        <f t="shared" si="1"/>
        <v>120</v>
      </c>
      <c r="F10">
        <f t="shared" si="1"/>
        <v>160</v>
      </c>
      <c r="G10">
        <f t="shared" si="1"/>
        <v>200</v>
      </c>
    </row>
    <row r="11" spans="1:9" x14ac:dyDescent="0.35">
      <c r="A11" s="19"/>
      <c r="B11">
        <v>50</v>
      </c>
      <c r="C11">
        <f t="shared" si="1"/>
        <v>50</v>
      </c>
      <c r="D11">
        <f t="shared" si="1"/>
        <v>100</v>
      </c>
      <c r="E11">
        <f t="shared" si="1"/>
        <v>150</v>
      </c>
      <c r="F11">
        <f t="shared" si="1"/>
        <v>200</v>
      </c>
      <c r="G11">
        <f t="shared" si="1"/>
        <v>250</v>
      </c>
    </row>
    <row r="13" spans="1:9" x14ac:dyDescent="0.35">
      <c r="A13" s="18" t="s">
        <v>159</v>
      </c>
      <c r="B13" s="18"/>
      <c r="C13" s="18"/>
      <c r="D13" s="18"/>
      <c r="E13" s="18"/>
      <c r="F13" s="18"/>
      <c r="G13" s="18"/>
      <c r="H13" s="18"/>
    </row>
    <row r="15" spans="1:9" x14ac:dyDescent="0.35">
      <c r="A15" s="18" t="s">
        <v>160</v>
      </c>
      <c r="B15" s="18"/>
      <c r="C15" s="18"/>
      <c r="D15" s="18"/>
      <c r="E15" s="18"/>
      <c r="F15" s="18"/>
      <c r="G15" s="18"/>
      <c r="H15" s="18"/>
      <c r="I15" s="18"/>
    </row>
  </sheetData>
  <mergeCells count="4">
    <mergeCell ref="B5:G5"/>
    <mergeCell ref="A6:A11"/>
    <mergeCell ref="A13:H13"/>
    <mergeCell ref="A15:I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70F-1B70-4619-9675-419A75660A26}">
  <dimension ref="A1:BI30"/>
  <sheetViews>
    <sheetView tabSelected="1" workbookViewId="0">
      <selection activeCell="BF1" sqref="BF1:BI1"/>
    </sheetView>
  </sheetViews>
  <sheetFormatPr defaultRowHeight="14.5" x14ac:dyDescent="0.35"/>
  <cols>
    <col min="4" max="4" width="15.1796875" bestFit="1" customWidth="1"/>
    <col min="6" max="6" width="26" bestFit="1" customWidth="1"/>
    <col min="7" max="8" width="14.26953125" bestFit="1" customWidth="1"/>
    <col min="29" max="29" width="9.1796875" bestFit="1" customWidth="1"/>
    <col min="61" max="61" width="10.08984375" bestFit="1" customWidth="1"/>
  </cols>
  <sheetData>
    <row r="1" spans="1:61" ht="43.5" x14ac:dyDescent="0.35">
      <c r="A1" s="23" t="s">
        <v>128</v>
      </c>
      <c r="B1" s="23" t="s">
        <v>129</v>
      </c>
      <c r="C1" s="23" t="s">
        <v>130</v>
      </c>
      <c r="D1" s="24"/>
      <c r="E1" s="2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147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4" t="s">
        <v>66</v>
      </c>
      <c r="AQ1" s="20" t="s">
        <v>136</v>
      </c>
      <c r="AR1" s="20"/>
      <c r="AS1" s="20"/>
      <c r="AT1" s="20"/>
      <c r="AU1" s="20"/>
      <c r="AW1" s="21" t="s">
        <v>137</v>
      </c>
      <c r="AX1" s="21"/>
      <c r="AY1" s="21"/>
      <c r="AZ1" s="21"/>
      <c r="BA1" s="21"/>
      <c r="BB1" s="21"/>
      <c r="BC1" s="21"/>
      <c r="BD1" s="21"/>
      <c r="BF1" s="25" t="s">
        <v>138</v>
      </c>
      <c r="BG1" s="25"/>
      <c r="BH1" s="25"/>
      <c r="BI1" s="25"/>
    </row>
    <row r="2" spans="1:61" x14ac:dyDescent="0.35">
      <c r="A2" t="s">
        <v>18</v>
      </c>
      <c r="B2" t="s">
        <v>19</v>
      </c>
      <c r="C2" t="s">
        <v>131</v>
      </c>
      <c r="D2" s="15">
        <f ca="1">TODAY()</f>
        <v>45994</v>
      </c>
      <c r="E2" s="5">
        <v>1003546781</v>
      </c>
      <c r="F2" s="6">
        <v>44105</v>
      </c>
      <c r="G2" s="7" t="s">
        <v>67</v>
      </c>
      <c r="H2" s="7">
        <v>574772</v>
      </c>
      <c r="I2" s="7" t="s">
        <v>68</v>
      </c>
      <c r="J2" s="7">
        <v>21</v>
      </c>
      <c r="K2" s="7">
        <v>89.9</v>
      </c>
      <c r="L2" s="7" t="str" cm="1">
        <f t="array" ref="L2:L20">IF(K2:K20 &gt;100, "Costly","Affordable")</f>
        <v>Affordable</v>
      </c>
      <c r="M2" s="7">
        <v>1798</v>
      </c>
      <c r="N2" s="7">
        <v>0</v>
      </c>
      <c r="O2" s="7">
        <v>1798</v>
      </c>
      <c r="P2" s="7" t="s">
        <v>69</v>
      </c>
      <c r="Q2" s="7" t="s">
        <v>70</v>
      </c>
      <c r="R2" s="7" t="s">
        <v>71</v>
      </c>
      <c r="S2" s="7">
        <v>60124</v>
      </c>
      <c r="T2" s="7">
        <v>2020</v>
      </c>
      <c r="U2" s="8">
        <v>44105</v>
      </c>
      <c r="V2" s="7">
        <v>987867</v>
      </c>
      <c r="W2" s="7" t="s">
        <v>72</v>
      </c>
      <c r="X2" s="7" t="s">
        <v>125</v>
      </c>
      <c r="Y2" s="7" t="s">
        <v>74</v>
      </c>
      <c r="Z2" s="7" t="s">
        <v>75</v>
      </c>
      <c r="AA2" s="7" t="s">
        <v>76</v>
      </c>
      <c r="AB2" s="7">
        <v>43</v>
      </c>
      <c r="AC2" s="7" t="s">
        <v>77</v>
      </c>
      <c r="AD2" s="7" t="s">
        <v>78</v>
      </c>
      <c r="AE2" s="7" t="s">
        <v>79</v>
      </c>
      <c r="AF2" s="7" t="s">
        <v>80</v>
      </c>
      <c r="AG2" s="7" t="s">
        <v>81</v>
      </c>
      <c r="AH2" s="7" t="s">
        <v>82</v>
      </c>
      <c r="AI2" s="7" t="s">
        <v>83</v>
      </c>
      <c r="AJ2" s="7" t="s">
        <v>82</v>
      </c>
      <c r="AK2" s="7" t="s">
        <v>84</v>
      </c>
      <c r="AL2" s="7">
        <v>73571</v>
      </c>
      <c r="AM2" s="7" t="s">
        <v>85</v>
      </c>
      <c r="AN2" s="7" t="s">
        <v>86</v>
      </c>
      <c r="AO2" s="9">
        <v>0</v>
      </c>
      <c r="AQ2" t="str">
        <f>TRIM(X2)</f>
        <v>Jani</v>
      </c>
      <c r="AR2" t="str">
        <f>PROPER(AI2)</f>
        <v>Harmon</v>
      </c>
      <c r="AS2" t="str">
        <f>UPPER(X2)</f>
        <v xml:space="preserve">     JANI</v>
      </c>
      <c r="AT2" t="str">
        <f>LOWER(X2)</f>
        <v xml:space="preserve">     jani</v>
      </c>
      <c r="AU2">
        <f>LEN(AI2)</f>
        <v>6</v>
      </c>
      <c r="AW2" t="str">
        <f>LEFT(AN2,2)</f>
        <v>jw</v>
      </c>
      <c r="AX2" t="str">
        <f>RIGHT(AN2,3)</f>
        <v>tus</v>
      </c>
      <c r="AY2" t="str">
        <f>MID(AN2,2,4)</f>
        <v>wtit</v>
      </c>
      <c r="AZ2" t="str">
        <f>CONCATENATE(X2,Y2,Z2)</f>
        <v xml:space="preserve">     JaniWTitus</v>
      </c>
      <c r="BA2">
        <f>FIND("mon",AI2)</f>
        <v>4</v>
      </c>
      <c r="BB2" t="e">
        <f>SEARCH("se",AN2)</f>
        <v>#VALUE!</v>
      </c>
      <c r="BC2" t="str">
        <f>REPLACE(AN2,2,4,"RE")</f>
        <v>jREus</v>
      </c>
      <c r="BD2" t="str">
        <f>SUBSTITUTE(AH2,"i","e",1)</f>
        <v>Venson</v>
      </c>
      <c r="BF2">
        <f>DAY(F2)</f>
        <v>1</v>
      </c>
      <c r="BG2">
        <f>MONTH(F2)</f>
        <v>10</v>
      </c>
      <c r="BH2">
        <f>YEAR(F2)</f>
        <v>2020</v>
      </c>
      <c r="BI2" s="15">
        <f>DATE(BH2,BG2,BF2)</f>
        <v>44105</v>
      </c>
    </row>
    <row r="3" spans="1:61" x14ac:dyDescent="0.35">
      <c r="A3" t="s">
        <v>20</v>
      </c>
      <c r="B3" t="s">
        <v>21</v>
      </c>
      <c r="C3" t="s">
        <v>132</v>
      </c>
      <c r="D3" s="16">
        <f ca="1">NOW()</f>
        <v>45994.389028356483</v>
      </c>
      <c r="E3" s="10">
        <v>100354678</v>
      </c>
      <c r="F3" s="11">
        <v>44105</v>
      </c>
      <c r="G3" s="12" t="s">
        <v>67</v>
      </c>
      <c r="H3" s="12">
        <v>574774</v>
      </c>
      <c r="I3" s="12" t="s">
        <v>87</v>
      </c>
      <c r="J3" s="12">
        <v>11</v>
      </c>
      <c r="K3" s="12">
        <v>19</v>
      </c>
      <c r="L3" s="12" t="str">
        <v>Affordable</v>
      </c>
      <c r="M3" s="12">
        <v>190</v>
      </c>
      <c r="N3" s="12">
        <v>0</v>
      </c>
      <c r="O3" s="12">
        <v>190</v>
      </c>
      <c r="P3" s="12" t="s">
        <v>69</v>
      </c>
      <c r="Q3" s="12" t="s">
        <v>70</v>
      </c>
      <c r="R3" s="12" t="s">
        <v>71</v>
      </c>
      <c r="S3" s="12">
        <v>60124</v>
      </c>
      <c r="T3" s="12">
        <v>2020</v>
      </c>
      <c r="U3" s="13">
        <v>44105</v>
      </c>
      <c r="V3" s="12">
        <v>987867</v>
      </c>
      <c r="W3" s="12" t="s">
        <v>72</v>
      </c>
      <c r="X3" s="12" t="s">
        <v>73</v>
      </c>
      <c r="Y3" s="12" t="s">
        <v>74</v>
      </c>
      <c r="Z3" s="12" t="s">
        <v>75</v>
      </c>
      <c r="AA3" s="12" t="s">
        <v>76</v>
      </c>
      <c r="AB3" s="12">
        <v>43</v>
      </c>
      <c r="AC3" s="12" t="s">
        <v>77</v>
      </c>
      <c r="AD3" s="12" t="s">
        <v>78</v>
      </c>
      <c r="AE3" s="12" t="s">
        <v>79</v>
      </c>
      <c r="AF3" s="12" t="s">
        <v>80</v>
      </c>
      <c r="AG3" s="12" t="s">
        <v>81</v>
      </c>
      <c r="AH3" s="12" t="s">
        <v>82</v>
      </c>
      <c r="AI3" s="12" t="s">
        <v>83</v>
      </c>
      <c r="AJ3" s="12" t="s">
        <v>82</v>
      </c>
      <c r="AK3" s="12" t="s">
        <v>84</v>
      </c>
      <c r="AL3" s="12">
        <v>73571</v>
      </c>
      <c r="AM3" s="12" t="s">
        <v>85</v>
      </c>
      <c r="AN3" s="12" t="s">
        <v>86</v>
      </c>
      <c r="AO3" s="14">
        <v>0</v>
      </c>
      <c r="AQ3" t="str">
        <f t="shared" ref="AQ3:AQ20" si="0">TRIM(X3)</f>
        <v>Jani</v>
      </c>
      <c r="AR3" t="str">
        <f t="shared" ref="AR3:AR20" si="1">PROPER(AI3)</f>
        <v>Harmon</v>
      </c>
      <c r="AS3" t="str">
        <f t="shared" ref="AS3:AS20" si="2">UPPER(X3)</f>
        <v>JANI</v>
      </c>
      <c r="AT3" t="str">
        <f t="shared" ref="AT3:AT20" si="3">LOWER(X3)</f>
        <v>jani</v>
      </c>
      <c r="AU3">
        <f t="shared" ref="AU3:AU20" si="4">LEN(AI3)</f>
        <v>6</v>
      </c>
      <c r="AW3" t="str">
        <f t="shared" ref="AW3:AW20" si="5">LEFT(AN3,2)</f>
        <v>jw</v>
      </c>
      <c r="AX3" t="str">
        <f t="shared" ref="AX3:AX20" si="6">RIGHT(AN3,3)</f>
        <v>tus</v>
      </c>
      <c r="AY3" t="str">
        <f t="shared" ref="AY3:AY20" si="7">MID(AN3,2,4)</f>
        <v>wtit</v>
      </c>
      <c r="AZ3" t="str">
        <f t="shared" ref="AZ3:AZ20" si="8">CONCATENATE(X3,Y3,Z3)</f>
        <v>JaniWTitus</v>
      </c>
      <c r="BA3">
        <f t="shared" ref="BA3:BA20" si="9">FIND("mon",AI3)</f>
        <v>4</v>
      </c>
      <c r="BB3" t="e">
        <f t="shared" ref="BB3:BB20" si="10">SEARCH("se",AN3)</f>
        <v>#VALUE!</v>
      </c>
      <c r="BC3" t="str">
        <f t="shared" ref="BC3:BC20" si="11">REPLACE(AN3,2,4,"RE")</f>
        <v>jREus</v>
      </c>
      <c r="BD3" t="str">
        <f t="shared" ref="BD3:BD20" si="12">SUBSTITUTE(AH3,"i","e",1)</f>
        <v>Venson</v>
      </c>
      <c r="BF3">
        <f>DAY(F3)</f>
        <v>1</v>
      </c>
      <c r="BG3">
        <f>MONTH(F3)</f>
        <v>10</v>
      </c>
      <c r="BH3">
        <f>YEAR(F3)</f>
        <v>2020</v>
      </c>
      <c r="BI3" s="15">
        <f t="shared" ref="BI3:BI20" si="13">DATE(BH3,BG3,BF3)</f>
        <v>44105</v>
      </c>
    </row>
    <row r="4" spans="1:61" x14ac:dyDescent="0.35">
      <c r="A4" t="s">
        <v>22</v>
      </c>
      <c r="B4" t="s">
        <v>23</v>
      </c>
      <c r="C4" t="s">
        <v>133</v>
      </c>
      <c r="E4" s="5">
        <v>100354680</v>
      </c>
      <c r="F4" s="6">
        <v>44105</v>
      </c>
      <c r="G4" s="7" t="s">
        <v>88</v>
      </c>
      <c r="H4" s="7">
        <v>574777</v>
      </c>
      <c r="I4" s="7" t="s">
        <v>89</v>
      </c>
      <c r="J4" s="7">
        <v>9</v>
      </c>
      <c r="K4" s="7">
        <v>149.9</v>
      </c>
      <c r="L4" s="7" t="str">
        <v>Costly</v>
      </c>
      <c r="M4" s="7">
        <v>1199.2</v>
      </c>
      <c r="N4" s="7">
        <v>0</v>
      </c>
      <c r="O4" s="7">
        <v>1199.2</v>
      </c>
      <c r="P4" s="7" t="s">
        <v>69</v>
      </c>
      <c r="Q4" s="7" t="s">
        <v>70</v>
      </c>
      <c r="R4" s="7" t="s">
        <v>90</v>
      </c>
      <c r="S4" s="7">
        <v>60124</v>
      </c>
      <c r="T4" s="7">
        <v>2020</v>
      </c>
      <c r="U4" s="8">
        <v>44105</v>
      </c>
      <c r="V4" s="7">
        <v>987867</v>
      </c>
      <c r="W4" s="7" t="s">
        <v>72</v>
      </c>
      <c r="X4" s="7" t="s">
        <v>73</v>
      </c>
      <c r="Y4" s="7" t="s">
        <v>74</v>
      </c>
      <c r="Z4" s="7" t="s">
        <v>75</v>
      </c>
      <c r="AA4" s="7" t="s">
        <v>76</v>
      </c>
      <c r="AB4" s="7">
        <v>43</v>
      </c>
      <c r="AC4" s="7" t="s">
        <v>77</v>
      </c>
      <c r="AD4" s="7" t="s">
        <v>78</v>
      </c>
      <c r="AE4" s="7" t="s">
        <v>79</v>
      </c>
      <c r="AF4" s="7" t="s">
        <v>80</v>
      </c>
      <c r="AG4" s="7" t="s">
        <v>81</v>
      </c>
      <c r="AH4" s="7" t="s">
        <v>82</v>
      </c>
      <c r="AI4" s="7" t="s">
        <v>127</v>
      </c>
      <c r="AJ4" s="7" t="s">
        <v>82</v>
      </c>
      <c r="AK4" s="7" t="s">
        <v>84</v>
      </c>
      <c r="AL4" s="7">
        <v>73571</v>
      </c>
      <c r="AM4" s="7" t="s">
        <v>85</v>
      </c>
      <c r="AN4" s="7" t="s">
        <v>86</v>
      </c>
      <c r="AO4" s="9">
        <v>0</v>
      </c>
      <c r="AQ4" t="str">
        <f t="shared" si="0"/>
        <v>Jani</v>
      </c>
      <c r="AR4" t="str">
        <f t="shared" si="1"/>
        <v>United State</v>
      </c>
      <c r="AS4" t="str">
        <f t="shared" si="2"/>
        <v>JANI</v>
      </c>
      <c r="AT4" t="str">
        <f t="shared" si="3"/>
        <v>jani</v>
      </c>
      <c r="AU4">
        <f t="shared" si="4"/>
        <v>12</v>
      </c>
      <c r="AW4" t="str">
        <f t="shared" si="5"/>
        <v>jw</v>
      </c>
      <c r="AX4" t="str">
        <f t="shared" si="6"/>
        <v>tus</v>
      </c>
      <c r="AY4" t="str">
        <f t="shared" si="7"/>
        <v>wtit</v>
      </c>
      <c r="AZ4" t="str">
        <f t="shared" si="8"/>
        <v>JaniWTitus</v>
      </c>
      <c r="BA4" t="e">
        <f t="shared" si="9"/>
        <v>#VALUE!</v>
      </c>
      <c r="BB4" t="e">
        <f t="shared" si="10"/>
        <v>#VALUE!</v>
      </c>
      <c r="BC4" t="str">
        <f t="shared" si="11"/>
        <v>jREus</v>
      </c>
      <c r="BD4" t="str">
        <f t="shared" si="12"/>
        <v>Venson</v>
      </c>
      <c r="BF4">
        <f>DAY(F4)</f>
        <v>1</v>
      </c>
      <c r="BG4">
        <f>MONTH(F4)</f>
        <v>10</v>
      </c>
      <c r="BH4">
        <f>YEAR(F4)</f>
        <v>2020</v>
      </c>
      <c r="BI4" s="15">
        <f t="shared" si="13"/>
        <v>44105</v>
      </c>
    </row>
    <row r="5" spans="1:61" x14ac:dyDescent="0.35">
      <c r="A5" t="s">
        <v>24</v>
      </c>
      <c r="B5" t="s">
        <v>25</v>
      </c>
      <c r="C5" t="s">
        <v>46</v>
      </c>
      <c r="D5">
        <f ca="1">D2-F2</f>
        <v>1889</v>
      </c>
      <c r="E5" s="10">
        <v>100354680</v>
      </c>
      <c r="F5" s="11">
        <v>44105</v>
      </c>
      <c r="G5" s="12" t="s">
        <v>88</v>
      </c>
      <c r="H5" s="12">
        <v>574779</v>
      </c>
      <c r="I5" s="12" t="s">
        <v>91</v>
      </c>
      <c r="J5" s="12">
        <v>9</v>
      </c>
      <c r="K5" s="12">
        <v>79.900000000000006</v>
      </c>
      <c r="L5" s="12" t="str">
        <v>Affordable</v>
      </c>
      <c r="M5" s="12">
        <v>639.20000000000005</v>
      </c>
      <c r="N5" s="12">
        <v>0</v>
      </c>
      <c r="O5" s="12">
        <v>639.20000000000005</v>
      </c>
      <c r="P5" s="12" t="s">
        <v>69</v>
      </c>
      <c r="Q5" s="12" t="s">
        <v>70</v>
      </c>
      <c r="R5" s="12" t="s">
        <v>90</v>
      </c>
      <c r="S5" s="12">
        <v>60124</v>
      </c>
      <c r="T5" s="12">
        <v>2020</v>
      </c>
      <c r="U5" s="13">
        <v>44105</v>
      </c>
      <c r="V5" s="12">
        <v>987867</v>
      </c>
      <c r="W5" s="12" t="s">
        <v>72</v>
      </c>
      <c r="X5" s="12" t="s">
        <v>73</v>
      </c>
      <c r="Y5" s="12" t="s">
        <v>74</v>
      </c>
      <c r="Z5" s="12" t="s">
        <v>75</v>
      </c>
      <c r="AA5" s="12" t="s">
        <v>76</v>
      </c>
      <c r="AB5" s="12">
        <v>43</v>
      </c>
      <c r="AC5" s="12" t="s">
        <v>77</v>
      </c>
      <c r="AD5" s="12" t="s">
        <v>78</v>
      </c>
      <c r="AE5" s="12" t="s">
        <v>79</v>
      </c>
      <c r="AF5" s="12" t="s">
        <v>80</v>
      </c>
      <c r="AG5" s="12" t="s">
        <v>81</v>
      </c>
      <c r="AH5" s="12" t="s">
        <v>82</v>
      </c>
      <c r="AI5" s="7" t="s">
        <v>127</v>
      </c>
      <c r="AJ5" s="12" t="s">
        <v>82</v>
      </c>
      <c r="AK5" s="12" t="s">
        <v>84</v>
      </c>
      <c r="AL5" s="12">
        <v>73571</v>
      </c>
      <c r="AM5" s="12" t="s">
        <v>85</v>
      </c>
      <c r="AN5" s="12" t="s">
        <v>86</v>
      </c>
      <c r="AO5" s="14">
        <v>0</v>
      </c>
      <c r="AQ5" t="str">
        <f t="shared" si="0"/>
        <v>Jani</v>
      </c>
      <c r="AR5" t="str">
        <f t="shared" si="1"/>
        <v>United State</v>
      </c>
      <c r="AS5" t="str">
        <f t="shared" si="2"/>
        <v>JANI</v>
      </c>
      <c r="AT5" t="str">
        <f t="shared" si="3"/>
        <v>jani</v>
      </c>
      <c r="AU5">
        <f t="shared" si="4"/>
        <v>12</v>
      </c>
      <c r="AW5" t="str">
        <f t="shared" si="5"/>
        <v>jw</v>
      </c>
      <c r="AX5" t="str">
        <f t="shared" si="6"/>
        <v>tus</v>
      </c>
      <c r="AY5" t="str">
        <f t="shared" si="7"/>
        <v>wtit</v>
      </c>
      <c r="AZ5" t="str">
        <f t="shared" si="8"/>
        <v>JaniWTitus</v>
      </c>
      <c r="BA5" t="e">
        <f t="shared" si="9"/>
        <v>#VALUE!</v>
      </c>
      <c r="BB5" t="e">
        <f t="shared" si="10"/>
        <v>#VALUE!</v>
      </c>
      <c r="BC5" t="str">
        <f t="shared" si="11"/>
        <v>jREus</v>
      </c>
      <c r="BD5" t="str">
        <f t="shared" si="12"/>
        <v>Venson</v>
      </c>
      <c r="BF5">
        <f>DAY(F5)</f>
        <v>1</v>
      </c>
      <c r="BG5">
        <f>MONTH(F5)</f>
        <v>10</v>
      </c>
      <c r="BH5">
        <f>YEAR(F5)</f>
        <v>2020</v>
      </c>
      <c r="BI5" s="15">
        <f t="shared" si="13"/>
        <v>44105</v>
      </c>
    </row>
    <row r="6" spans="1:61" x14ac:dyDescent="0.35">
      <c r="A6" t="s">
        <v>26</v>
      </c>
      <c r="B6" t="s">
        <v>27</v>
      </c>
      <c r="C6" t="s">
        <v>45</v>
      </c>
      <c r="D6">
        <v>10</v>
      </c>
      <c r="E6" s="5">
        <v>100367357</v>
      </c>
      <c r="F6" s="6">
        <v>44148</v>
      </c>
      <c r="G6" s="7" t="s">
        <v>67</v>
      </c>
      <c r="H6" s="7">
        <v>595185</v>
      </c>
      <c r="I6" s="7" t="s">
        <v>92</v>
      </c>
      <c r="J6" s="7">
        <v>2</v>
      </c>
      <c r="K6" s="7">
        <v>99.9</v>
      </c>
      <c r="L6" s="7" t="str">
        <v>Affordable</v>
      </c>
      <c r="M6" s="7">
        <v>99.9</v>
      </c>
      <c r="N6" s="7">
        <v>0</v>
      </c>
      <c r="O6" s="7">
        <v>99.9</v>
      </c>
      <c r="P6" s="7" t="s">
        <v>69</v>
      </c>
      <c r="Q6" s="7" t="s">
        <v>70</v>
      </c>
      <c r="R6" s="7" t="s">
        <v>71</v>
      </c>
      <c r="S6" s="7">
        <v>60124</v>
      </c>
      <c r="T6" s="7">
        <v>2020</v>
      </c>
      <c r="U6" s="8">
        <v>44136</v>
      </c>
      <c r="V6" s="7">
        <v>987867</v>
      </c>
      <c r="W6" s="7" t="s">
        <v>72</v>
      </c>
      <c r="X6" s="7" t="s">
        <v>73</v>
      </c>
      <c r="Y6" s="7" t="s">
        <v>74</v>
      </c>
      <c r="Z6" s="7" t="s">
        <v>75</v>
      </c>
      <c r="AA6" s="7" t="s">
        <v>76</v>
      </c>
      <c r="AB6" s="7">
        <v>43</v>
      </c>
      <c r="AC6" s="7" t="s">
        <v>77</v>
      </c>
      <c r="AD6" s="7" t="s">
        <v>78</v>
      </c>
      <c r="AE6" s="7" t="s">
        <v>79</v>
      </c>
      <c r="AF6" s="7" t="s">
        <v>80</v>
      </c>
      <c r="AG6" s="7" t="s">
        <v>81</v>
      </c>
      <c r="AH6" s="7" t="s">
        <v>82</v>
      </c>
      <c r="AI6" s="7" t="s">
        <v>83</v>
      </c>
      <c r="AJ6" s="7" t="s">
        <v>82</v>
      </c>
      <c r="AK6" s="7" t="s">
        <v>84</v>
      </c>
      <c r="AL6" s="7">
        <v>73571</v>
      </c>
      <c r="AM6" s="7" t="s">
        <v>85</v>
      </c>
      <c r="AN6" s="7" t="s">
        <v>86</v>
      </c>
      <c r="AO6" s="9">
        <v>0</v>
      </c>
      <c r="AQ6" t="str">
        <f t="shared" si="0"/>
        <v>Jani</v>
      </c>
      <c r="AR6" t="str">
        <f t="shared" si="1"/>
        <v>Harmon</v>
      </c>
      <c r="AS6" t="str">
        <f t="shared" si="2"/>
        <v>JANI</v>
      </c>
      <c r="AT6" t="str">
        <f t="shared" si="3"/>
        <v>jani</v>
      </c>
      <c r="AU6">
        <f t="shared" si="4"/>
        <v>6</v>
      </c>
      <c r="AW6" t="str">
        <f t="shared" si="5"/>
        <v>jw</v>
      </c>
      <c r="AX6" t="str">
        <f t="shared" si="6"/>
        <v>tus</v>
      </c>
      <c r="AY6" t="str">
        <f t="shared" si="7"/>
        <v>wtit</v>
      </c>
      <c r="AZ6" t="str">
        <f t="shared" si="8"/>
        <v>JaniWTitus</v>
      </c>
      <c r="BA6">
        <f t="shared" si="9"/>
        <v>4</v>
      </c>
      <c r="BB6" t="e">
        <f t="shared" si="10"/>
        <v>#VALUE!</v>
      </c>
      <c r="BC6" t="str">
        <f t="shared" si="11"/>
        <v>jREus</v>
      </c>
      <c r="BD6" t="str">
        <f t="shared" si="12"/>
        <v>Venson</v>
      </c>
      <c r="BF6">
        <f>DAY(F6)</f>
        <v>13</v>
      </c>
      <c r="BG6">
        <f>MONTH(F6)</f>
        <v>11</v>
      </c>
      <c r="BH6">
        <f>YEAR(F6)</f>
        <v>2020</v>
      </c>
      <c r="BI6" s="15">
        <f t="shared" si="13"/>
        <v>44148</v>
      </c>
    </row>
    <row r="7" spans="1:61" x14ac:dyDescent="0.35">
      <c r="B7" t="s">
        <v>28</v>
      </c>
      <c r="C7" t="s">
        <v>134</v>
      </c>
      <c r="D7" s="15">
        <f ca="1">D2+D6</f>
        <v>46004</v>
      </c>
      <c r="E7" s="10">
        <v>100367357</v>
      </c>
      <c r="F7" s="11">
        <v>44148</v>
      </c>
      <c r="G7" s="12" t="s">
        <v>67</v>
      </c>
      <c r="H7" s="12">
        <v>595186</v>
      </c>
      <c r="I7" s="12" t="s">
        <v>93</v>
      </c>
      <c r="J7" s="12">
        <v>2</v>
      </c>
      <c r="K7" s="12">
        <v>39.9</v>
      </c>
      <c r="L7" s="12" t="str">
        <v>Affordable</v>
      </c>
      <c r="M7" s="12">
        <v>39.9</v>
      </c>
      <c r="N7" s="12">
        <v>0</v>
      </c>
      <c r="O7" s="12">
        <v>39.9</v>
      </c>
      <c r="P7" s="12" t="s">
        <v>69</v>
      </c>
      <c r="Q7" s="12" t="s">
        <v>70</v>
      </c>
      <c r="R7" s="12" t="s">
        <v>71</v>
      </c>
      <c r="S7" s="12">
        <v>60124</v>
      </c>
      <c r="T7" s="12">
        <v>2020</v>
      </c>
      <c r="U7" s="13">
        <v>44136</v>
      </c>
      <c r="V7" s="12">
        <v>987867</v>
      </c>
      <c r="W7" s="12" t="s">
        <v>72</v>
      </c>
      <c r="X7" s="12" t="s">
        <v>73</v>
      </c>
      <c r="Y7" s="12" t="s">
        <v>74</v>
      </c>
      <c r="Z7" s="12" t="s">
        <v>75</v>
      </c>
      <c r="AA7" s="12" t="s">
        <v>76</v>
      </c>
      <c r="AB7" s="12">
        <v>43</v>
      </c>
      <c r="AC7" s="12" t="s">
        <v>77</v>
      </c>
      <c r="AD7" s="12" t="s">
        <v>78</v>
      </c>
      <c r="AE7" s="12" t="s">
        <v>79</v>
      </c>
      <c r="AF7" s="12" t="s">
        <v>80</v>
      </c>
      <c r="AG7" s="12" t="s">
        <v>81</v>
      </c>
      <c r="AH7" s="12" t="s">
        <v>82</v>
      </c>
      <c r="AI7" s="12" t="s">
        <v>83</v>
      </c>
      <c r="AJ7" s="12" t="s">
        <v>82</v>
      </c>
      <c r="AK7" s="12" t="s">
        <v>84</v>
      </c>
      <c r="AL7" s="12">
        <v>73571</v>
      </c>
      <c r="AM7" s="12" t="s">
        <v>85</v>
      </c>
      <c r="AN7" s="12" t="s">
        <v>86</v>
      </c>
      <c r="AO7" s="14">
        <v>0</v>
      </c>
      <c r="AQ7" t="str">
        <f t="shared" si="0"/>
        <v>Jani</v>
      </c>
      <c r="AR7" t="str">
        <f t="shared" si="1"/>
        <v>Harmon</v>
      </c>
      <c r="AS7" t="str">
        <f t="shared" si="2"/>
        <v>JANI</v>
      </c>
      <c r="AT7" t="str">
        <f t="shared" si="3"/>
        <v>jani</v>
      </c>
      <c r="AU7">
        <f t="shared" si="4"/>
        <v>6</v>
      </c>
      <c r="AW7" t="str">
        <f t="shared" si="5"/>
        <v>jw</v>
      </c>
      <c r="AX7" t="str">
        <f t="shared" si="6"/>
        <v>tus</v>
      </c>
      <c r="AY7" t="str">
        <f t="shared" si="7"/>
        <v>wtit</v>
      </c>
      <c r="AZ7" t="str">
        <f t="shared" si="8"/>
        <v>JaniWTitus</v>
      </c>
      <c r="BA7">
        <f t="shared" si="9"/>
        <v>4</v>
      </c>
      <c r="BB7" t="e">
        <f t="shared" si="10"/>
        <v>#VALUE!</v>
      </c>
      <c r="BC7" t="str">
        <f t="shared" si="11"/>
        <v>jREus</v>
      </c>
      <c r="BD7" t="str">
        <f t="shared" si="12"/>
        <v>Venson</v>
      </c>
      <c r="BF7">
        <f>DAY(F7)</f>
        <v>13</v>
      </c>
      <c r="BG7">
        <f>MONTH(F7)</f>
        <v>11</v>
      </c>
      <c r="BH7">
        <f>YEAR(F7)</f>
        <v>2020</v>
      </c>
      <c r="BI7" s="15">
        <f t="shared" si="13"/>
        <v>44148</v>
      </c>
    </row>
    <row r="8" spans="1:61" x14ac:dyDescent="0.35">
      <c r="B8" t="s">
        <v>29</v>
      </c>
      <c r="C8" t="s">
        <v>135</v>
      </c>
      <c r="D8" s="17">
        <f ca="1">EDATE(D2,7)</f>
        <v>46206</v>
      </c>
      <c r="E8" s="5">
        <v>100367360</v>
      </c>
      <c r="F8" s="6">
        <v>44148</v>
      </c>
      <c r="G8" s="7" t="s">
        <v>94</v>
      </c>
      <c r="H8" s="7">
        <v>595192</v>
      </c>
      <c r="I8" s="7" t="s">
        <v>95</v>
      </c>
      <c r="J8" s="7">
        <v>2</v>
      </c>
      <c r="K8" s="7">
        <v>47.6</v>
      </c>
      <c r="L8" s="7" t="str">
        <v>Affordable</v>
      </c>
      <c r="M8" s="7">
        <v>47.6</v>
      </c>
      <c r="N8" s="7">
        <v>0</v>
      </c>
      <c r="O8" s="7">
        <v>47.6</v>
      </c>
      <c r="P8" s="7" t="s">
        <v>96</v>
      </c>
      <c r="Q8" s="7" t="s">
        <v>70</v>
      </c>
      <c r="R8" s="7" t="s">
        <v>71</v>
      </c>
      <c r="S8" s="7">
        <v>60124</v>
      </c>
      <c r="T8" s="7">
        <v>2020</v>
      </c>
      <c r="U8" s="8">
        <v>44136</v>
      </c>
      <c r="V8" s="7">
        <v>987867</v>
      </c>
      <c r="W8" s="7" t="s">
        <v>72</v>
      </c>
      <c r="X8" s="7" t="s">
        <v>73</v>
      </c>
      <c r="Y8" s="7" t="s">
        <v>74</v>
      </c>
      <c r="Z8" s="7" t="s">
        <v>75</v>
      </c>
      <c r="AA8" s="7" t="s">
        <v>76</v>
      </c>
      <c r="AB8" s="7">
        <v>43</v>
      </c>
      <c r="AC8" s="7" t="s">
        <v>77</v>
      </c>
      <c r="AD8" s="7" t="s">
        <v>78</v>
      </c>
      <c r="AE8" s="7" t="s">
        <v>79</v>
      </c>
      <c r="AF8" s="7" t="s">
        <v>80</v>
      </c>
      <c r="AG8" s="7" t="s">
        <v>81</v>
      </c>
      <c r="AH8" s="7" t="s">
        <v>82</v>
      </c>
      <c r="AI8" s="7" t="s">
        <v>83</v>
      </c>
      <c r="AJ8" s="7" t="s">
        <v>82</v>
      </c>
      <c r="AK8" s="7" t="s">
        <v>84</v>
      </c>
      <c r="AL8" s="7">
        <v>73571</v>
      </c>
      <c r="AM8" s="7" t="s">
        <v>85</v>
      </c>
      <c r="AN8" s="7" t="s">
        <v>86</v>
      </c>
      <c r="AO8" s="9">
        <v>0</v>
      </c>
      <c r="AQ8" t="str">
        <f t="shared" si="0"/>
        <v>Jani</v>
      </c>
      <c r="AR8" t="str">
        <f t="shared" si="1"/>
        <v>Harmon</v>
      </c>
      <c r="AS8" t="str">
        <f t="shared" si="2"/>
        <v>JANI</v>
      </c>
      <c r="AT8" t="str">
        <f t="shared" si="3"/>
        <v>jani</v>
      </c>
      <c r="AU8">
        <f t="shared" si="4"/>
        <v>6</v>
      </c>
      <c r="AW8" t="str">
        <f t="shared" si="5"/>
        <v>jw</v>
      </c>
      <c r="AX8" t="str">
        <f t="shared" si="6"/>
        <v>tus</v>
      </c>
      <c r="AY8" t="str">
        <f t="shared" si="7"/>
        <v>wtit</v>
      </c>
      <c r="AZ8" t="str">
        <f t="shared" si="8"/>
        <v>JaniWTitus</v>
      </c>
      <c r="BA8">
        <f t="shared" si="9"/>
        <v>4</v>
      </c>
      <c r="BB8" t="e">
        <f t="shared" si="10"/>
        <v>#VALUE!</v>
      </c>
      <c r="BC8" t="str">
        <f t="shared" si="11"/>
        <v>jREus</v>
      </c>
      <c r="BD8" t="str">
        <f t="shared" si="12"/>
        <v>Venson</v>
      </c>
      <c r="BF8">
        <f>DAY(F8)</f>
        <v>13</v>
      </c>
      <c r="BG8">
        <f>MONTH(F8)</f>
        <v>11</v>
      </c>
      <c r="BH8">
        <f>YEAR(F8)</f>
        <v>2020</v>
      </c>
      <c r="BI8" s="15">
        <f t="shared" si="13"/>
        <v>44148</v>
      </c>
    </row>
    <row r="9" spans="1:61" x14ac:dyDescent="0.35">
      <c r="B9" t="s">
        <v>30</v>
      </c>
      <c r="E9" s="10">
        <v>100354677</v>
      </c>
      <c r="F9" s="11">
        <v>44105</v>
      </c>
      <c r="G9" s="12" t="s">
        <v>97</v>
      </c>
      <c r="H9" s="12">
        <v>574769</v>
      </c>
      <c r="I9" s="12" t="s">
        <v>98</v>
      </c>
      <c r="J9" s="12">
        <v>2</v>
      </c>
      <c r="K9" s="12">
        <v>49</v>
      </c>
      <c r="L9" s="12" t="str">
        <v>Affordable</v>
      </c>
      <c r="M9" s="12">
        <v>49</v>
      </c>
      <c r="N9" s="12">
        <v>0</v>
      </c>
      <c r="O9" s="12">
        <v>49</v>
      </c>
      <c r="P9" s="12" t="s">
        <v>96</v>
      </c>
      <c r="Q9" s="12" t="s">
        <v>99</v>
      </c>
      <c r="R9" s="12" t="s">
        <v>100</v>
      </c>
      <c r="S9" s="12">
        <v>42485</v>
      </c>
      <c r="T9" s="12">
        <v>2020</v>
      </c>
      <c r="U9" s="13">
        <v>44105</v>
      </c>
      <c r="V9" s="12">
        <v>171143</v>
      </c>
      <c r="W9" s="12"/>
      <c r="X9" s="12" t="s">
        <v>102</v>
      </c>
      <c r="Y9" s="12" t="s">
        <v>103</v>
      </c>
      <c r="Z9" s="12" t="s">
        <v>104</v>
      </c>
      <c r="AA9" s="12" t="s">
        <v>105</v>
      </c>
      <c r="AB9" s="12">
        <v>28</v>
      </c>
      <c r="AC9" s="12" t="s">
        <v>106</v>
      </c>
      <c r="AD9" s="12" t="s">
        <v>107</v>
      </c>
      <c r="AE9" s="12" t="s">
        <v>108</v>
      </c>
      <c r="AF9" s="12" t="s">
        <v>109</v>
      </c>
      <c r="AG9" s="12" t="s">
        <v>110</v>
      </c>
      <c r="AH9" s="12" t="s">
        <v>111</v>
      </c>
      <c r="AI9" s="12" t="s">
        <v>112</v>
      </c>
      <c r="AJ9" s="12" t="s">
        <v>111</v>
      </c>
      <c r="AK9" s="12" t="s">
        <v>113</v>
      </c>
      <c r="AL9" s="12">
        <v>32042</v>
      </c>
      <c r="AM9" s="12" t="s">
        <v>85</v>
      </c>
      <c r="AN9" s="12" t="s">
        <v>114</v>
      </c>
      <c r="AO9" s="14">
        <v>0</v>
      </c>
      <c r="AQ9" t="str">
        <f t="shared" si="0"/>
        <v>Lee</v>
      </c>
      <c r="AR9" t="str">
        <f t="shared" si="1"/>
        <v>Bradford</v>
      </c>
      <c r="AS9" t="str">
        <f t="shared" si="2"/>
        <v>LEE</v>
      </c>
      <c r="AT9" t="str">
        <f t="shared" si="3"/>
        <v>lee</v>
      </c>
      <c r="AU9">
        <f t="shared" si="4"/>
        <v>8</v>
      </c>
      <c r="AW9" t="str">
        <f t="shared" si="5"/>
        <v>ls</v>
      </c>
      <c r="AX9" t="str">
        <f t="shared" si="6"/>
        <v>ker</v>
      </c>
      <c r="AY9" t="str">
        <f t="shared" si="7"/>
        <v>seak</v>
      </c>
      <c r="AZ9" t="str">
        <f t="shared" si="8"/>
        <v>LeeSEaker</v>
      </c>
      <c r="BA9" t="e">
        <f t="shared" si="9"/>
        <v>#VALUE!</v>
      </c>
      <c r="BB9">
        <f t="shared" si="10"/>
        <v>2</v>
      </c>
      <c r="BC9" t="str">
        <f t="shared" si="11"/>
        <v>lREer</v>
      </c>
      <c r="BD9" t="str">
        <f t="shared" si="12"/>
        <v>Graham</v>
      </c>
      <c r="BF9">
        <f>DAY(F9)</f>
        <v>1</v>
      </c>
      <c r="BG9">
        <f>MONTH(F9)</f>
        <v>10</v>
      </c>
      <c r="BH9">
        <f>YEAR(F9)</f>
        <v>2020</v>
      </c>
      <c r="BI9" s="15">
        <f t="shared" si="13"/>
        <v>44105</v>
      </c>
    </row>
    <row r="10" spans="1:61" x14ac:dyDescent="0.35">
      <c r="E10" s="5">
        <v>100354677</v>
      </c>
      <c r="F10" s="6">
        <v>44105</v>
      </c>
      <c r="G10" s="7" t="s">
        <v>97</v>
      </c>
      <c r="H10" s="7">
        <v>574770</v>
      </c>
      <c r="I10" s="7" t="s">
        <v>115</v>
      </c>
      <c r="J10" s="7">
        <v>2</v>
      </c>
      <c r="K10" s="7">
        <v>135</v>
      </c>
      <c r="L10" s="7" t="str">
        <v>Costly</v>
      </c>
      <c r="M10" s="7">
        <v>135</v>
      </c>
      <c r="N10" s="7">
        <v>0</v>
      </c>
      <c r="O10" s="7">
        <v>135</v>
      </c>
      <c r="P10" s="7" t="s">
        <v>116</v>
      </c>
      <c r="Q10" s="7" t="s">
        <v>99</v>
      </c>
      <c r="R10" s="7" t="s">
        <v>100</v>
      </c>
      <c r="S10" s="7">
        <v>42485</v>
      </c>
      <c r="T10" s="7">
        <v>2020</v>
      </c>
      <c r="U10" s="8">
        <v>44105</v>
      </c>
      <c r="V10" s="7">
        <v>171143</v>
      </c>
      <c r="W10" s="7" t="s">
        <v>101</v>
      </c>
      <c r="X10" s="7" t="s">
        <v>102</v>
      </c>
      <c r="Y10" s="7" t="s">
        <v>103</v>
      </c>
      <c r="Z10" s="7" t="s">
        <v>104</v>
      </c>
      <c r="AA10" s="7" t="s">
        <v>105</v>
      </c>
      <c r="AB10" s="7">
        <v>28</v>
      </c>
      <c r="AC10" s="7" t="s">
        <v>106</v>
      </c>
      <c r="AD10" s="7" t="s">
        <v>107</v>
      </c>
      <c r="AE10" s="7" t="s">
        <v>108</v>
      </c>
      <c r="AF10" s="7" t="s">
        <v>109</v>
      </c>
      <c r="AG10" s="7" t="s">
        <v>110</v>
      </c>
      <c r="AH10" s="7" t="s">
        <v>111</v>
      </c>
      <c r="AI10" s="7" t="s">
        <v>112</v>
      </c>
      <c r="AJ10" s="7" t="s">
        <v>111</v>
      </c>
      <c r="AK10" s="7" t="s">
        <v>113</v>
      </c>
      <c r="AL10" s="7">
        <v>32042</v>
      </c>
      <c r="AM10" s="7" t="s">
        <v>85</v>
      </c>
      <c r="AN10" s="7" t="s">
        <v>114</v>
      </c>
      <c r="AO10" s="9">
        <v>0</v>
      </c>
      <c r="AQ10" t="str">
        <f t="shared" si="0"/>
        <v>Lee</v>
      </c>
      <c r="AR10" t="str">
        <f t="shared" si="1"/>
        <v>Bradford</v>
      </c>
      <c r="AS10" t="str">
        <f t="shared" si="2"/>
        <v>LEE</v>
      </c>
      <c r="AT10" t="str">
        <f t="shared" si="3"/>
        <v>lee</v>
      </c>
      <c r="AU10">
        <f t="shared" si="4"/>
        <v>8</v>
      </c>
      <c r="AW10" t="str">
        <f t="shared" si="5"/>
        <v>ls</v>
      </c>
      <c r="AX10" t="str">
        <f t="shared" si="6"/>
        <v>ker</v>
      </c>
      <c r="AY10" t="str">
        <f t="shared" si="7"/>
        <v>seak</v>
      </c>
      <c r="AZ10" t="str">
        <f t="shared" si="8"/>
        <v>LeeSEaker</v>
      </c>
      <c r="BA10" t="e">
        <f t="shared" si="9"/>
        <v>#VALUE!</v>
      </c>
      <c r="BB10">
        <f t="shared" si="10"/>
        <v>2</v>
      </c>
      <c r="BC10" t="str">
        <f t="shared" si="11"/>
        <v>lREer</v>
      </c>
      <c r="BD10" t="str">
        <f t="shared" si="12"/>
        <v>Graham</v>
      </c>
      <c r="BF10">
        <f>DAY(F10)</f>
        <v>1</v>
      </c>
      <c r="BG10">
        <f>MONTH(F10)</f>
        <v>10</v>
      </c>
      <c r="BH10">
        <f>YEAR(F10)</f>
        <v>2020</v>
      </c>
      <c r="BI10" s="15">
        <f t="shared" si="13"/>
        <v>44105</v>
      </c>
    </row>
    <row r="11" spans="1:61" x14ac:dyDescent="0.35">
      <c r="E11" s="10">
        <v>100354677</v>
      </c>
      <c r="F11" s="11">
        <v>44105</v>
      </c>
      <c r="G11" s="12" t="s">
        <v>97</v>
      </c>
      <c r="H11" s="12">
        <v>574771</v>
      </c>
      <c r="I11" s="12" t="s">
        <v>117</v>
      </c>
      <c r="J11" s="12">
        <v>2</v>
      </c>
      <c r="K11" s="12">
        <v>549.9</v>
      </c>
      <c r="L11" s="12" t="str">
        <v>Costly</v>
      </c>
      <c r="M11" s="12">
        <v>549.9</v>
      </c>
      <c r="N11" s="12">
        <v>0</v>
      </c>
      <c r="O11" s="12">
        <v>549.9</v>
      </c>
      <c r="P11" s="12" t="s">
        <v>118</v>
      </c>
      <c r="Q11" s="12" t="s">
        <v>99</v>
      </c>
      <c r="R11" s="12" t="s">
        <v>100</v>
      </c>
      <c r="S11" s="12">
        <v>42485</v>
      </c>
      <c r="T11" s="12">
        <v>2020</v>
      </c>
      <c r="U11" s="13">
        <v>44105</v>
      </c>
      <c r="V11" s="12">
        <v>171143</v>
      </c>
      <c r="W11" s="12" t="s">
        <v>101</v>
      </c>
      <c r="X11" s="12" t="s">
        <v>102</v>
      </c>
      <c r="Y11" s="12" t="s">
        <v>103</v>
      </c>
      <c r="Z11" s="12" t="s">
        <v>104</v>
      </c>
      <c r="AA11" s="12" t="s">
        <v>105</v>
      </c>
      <c r="AB11" s="12">
        <v>28</v>
      </c>
      <c r="AC11" s="12" t="s">
        <v>106</v>
      </c>
      <c r="AD11" s="12" t="s">
        <v>107</v>
      </c>
      <c r="AE11" s="12" t="s">
        <v>108</v>
      </c>
      <c r="AF11" s="12" t="s">
        <v>109</v>
      </c>
      <c r="AG11" s="12" t="s">
        <v>110</v>
      </c>
      <c r="AH11" s="12" t="s">
        <v>111</v>
      </c>
      <c r="AI11" s="7" t="s">
        <v>127</v>
      </c>
      <c r="AJ11" s="12" t="s">
        <v>111</v>
      </c>
      <c r="AK11" s="12" t="s">
        <v>113</v>
      </c>
      <c r="AL11" s="12">
        <v>32042</v>
      </c>
      <c r="AM11" s="12" t="s">
        <v>85</v>
      </c>
      <c r="AN11" s="12" t="s">
        <v>114</v>
      </c>
      <c r="AO11" s="14">
        <v>0</v>
      </c>
      <c r="AQ11" t="str">
        <f t="shared" si="0"/>
        <v>Lee</v>
      </c>
      <c r="AR11" t="str">
        <f t="shared" si="1"/>
        <v>United State</v>
      </c>
      <c r="AS11" t="str">
        <f t="shared" si="2"/>
        <v>LEE</v>
      </c>
      <c r="AT11" t="str">
        <f t="shared" si="3"/>
        <v>lee</v>
      </c>
      <c r="AU11">
        <f t="shared" si="4"/>
        <v>12</v>
      </c>
      <c r="AW11" t="str">
        <f t="shared" si="5"/>
        <v>ls</v>
      </c>
      <c r="AX11" t="str">
        <f t="shared" si="6"/>
        <v>ker</v>
      </c>
      <c r="AY11" t="str">
        <f t="shared" si="7"/>
        <v>seak</v>
      </c>
      <c r="AZ11" t="str">
        <f t="shared" si="8"/>
        <v>LeeSEaker</v>
      </c>
      <c r="BA11" t="e">
        <f t="shared" si="9"/>
        <v>#VALUE!</v>
      </c>
      <c r="BB11">
        <f t="shared" si="10"/>
        <v>2</v>
      </c>
      <c r="BC11" t="str">
        <f t="shared" si="11"/>
        <v>lREer</v>
      </c>
      <c r="BD11" t="str">
        <f t="shared" si="12"/>
        <v>Graham</v>
      </c>
      <c r="BF11">
        <f>DAY(F11)</f>
        <v>1</v>
      </c>
      <c r="BG11">
        <f>MONTH(F11)</f>
        <v>10</v>
      </c>
      <c r="BH11">
        <f>YEAR(F11)</f>
        <v>2020</v>
      </c>
      <c r="BI11" s="15">
        <f t="shared" si="13"/>
        <v>44105</v>
      </c>
    </row>
    <row r="12" spans="1:61" x14ac:dyDescent="0.35">
      <c r="E12" s="5">
        <v>100356116</v>
      </c>
      <c r="F12" s="6">
        <v>44112</v>
      </c>
      <c r="G12" s="7" t="s">
        <v>94</v>
      </c>
      <c r="H12" s="7">
        <v>577467</v>
      </c>
      <c r="I12" s="7" t="s">
        <v>117</v>
      </c>
      <c r="J12" s="7">
        <v>1</v>
      </c>
      <c r="K12" s="7">
        <v>549.9</v>
      </c>
      <c r="L12" s="7" t="str">
        <v>Costly</v>
      </c>
      <c r="M12" s="7">
        <v>0</v>
      </c>
      <c r="N12" s="7">
        <v>0</v>
      </c>
      <c r="O12" s="7">
        <v>0</v>
      </c>
      <c r="P12" s="7" t="s">
        <v>118</v>
      </c>
      <c r="Q12" s="7" t="s">
        <v>99</v>
      </c>
      <c r="R12" s="7" t="s">
        <v>71</v>
      </c>
      <c r="S12" s="7">
        <v>42485</v>
      </c>
      <c r="T12" s="7">
        <v>2020</v>
      </c>
      <c r="U12" s="8">
        <v>44105</v>
      </c>
      <c r="V12" s="7">
        <v>171143</v>
      </c>
      <c r="W12" s="7"/>
      <c r="X12" s="7" t="s">
        <v>102</v>
      </c>
      <c r="Y12" s="7" t="s">
        <v>103</v>
      </c>
      <c r="Z12" s="7" t="s">
        <v>104</v>
      </c>
      <c r="AA12" s="7" t="s">
        <v>105</v>
      </c>
      <c r="AB12" s="7">
        <v>28</v>
      </c>
      <c r="AC12" s="7" t="s">
        <v>106</v>
      </c>
      <c r="AD12" s="7" t="s">
        <v>107</v>
      </c>
      <c r="AE12" s="7" t="s">
        <v>108</v>
      </c>
      <c r="AF12" s="7" t="s">
        <v>109</v>
      </c>
      <c r="AG12" s="7" t="s">
        <v>110</v>
      </c>
      <c r="AH12" s="7" t="s">
        <v>111</v>
      </c>
      <c r="AI12" s="7" t="s">
        <v>112</v>
      </c>
      <c r="AJ12" s="7" t="s">
        <v>111</v>
      </c>
      <c r="AK12" s="7" t="s">
        <v>113</v>
      </c>
      <c r="AL12" s="7">
        <v>32042</v>
      </c>
      <c r="AM12" s="7" t="s">
        <v>85</v>
      </c>
      <c r="AN12" s="7" t="s">
        <v>114</v>
      </c>
      <c r="AO12" s="9">
        <v>5.4555373700000001</v>
      </c>
      <c r="AQ12" t="str">
        <f t="shared" si="0"/>
        <v>Lee</v>
      </c>
      <c r="AR12" t="str">
        <f t="shared" si="1"/>
        <v>Bradford</v>
      </c>
      <c r="AS12" t="str">
        <f t="shared" si="2"/>
        <v>LEE</v>
      </c>
      <c r="AT12" t="str">
        <f t="shared" si="3"/>
        <v>lee</v>
      </c>
      <c r="AU12">
        <f t="shared" si="4"/>
        <v>8</v>
      </c>
      <c r="AW12" t="str">
        <f t="shared" si="5"/>
        <v>ls</v>
      </c>
      <c r="AX12" t="str">
        <f t="shared" si="6"/>
        <v>ker</v>
      </c>
      <c r="AY12" t="str">
        <f t="shared" si="7"/>
        <v>seak</v>
      </c>
      <c r="AZ12" t="str">
        <f t="shared" si="8"/>
        <v>LeeSEaker</v>
      </c>
      <c r="BA12" t="e">
        <f t="shared" si="9"/>
        <v>#VALUE!</v>
      </c>
      <c r="BB12">
        <f t="shared" si="10"/>
        <v>2</v>
      </c>
      <c r="BC12" t="str">
        <f t="shared" si="11"/>
        <v>lREer</v>
      </c>
      <c r="BD12" t="str">
        <f t="shared" si="12"/>
        <v>Graham</v>
      </c>
      <c r="BF12">
        <f>DAY(F12)</f>
        <v>8</v>
      </c>
      <c r="BG12">
        <f>MONTH(F12)</f>
        <v>10</v>
      </c>
      <c r="BH12">
        <f>YEAR(F12)</f>
        <v>2020</v>
      </c>
      <c r="BI12" s="15">
        <f t="shared" si="13"/>
        <v>44112</v>
      </c>
    </row>
    <row r="13" spans="1:61" x14ac:dyDescent="0.35">
      <c r="E13" s="10">
        <v>100358724</v>
      </c>
      <c r="F13" s="11">
        <v>44125</v>
      </c>
      <c r="G13" s="12" t="s">
        <v>94</v>
      </c>
      <c r="H13" s="12">
        <v>581862</v>
      </c>
      <c r="I13" s="12" t="s">
        <v>119</v>
      </c>
      <c r="J13" s="12">
        <v>1</v>
      </c>
      <c r="K13" s="12">
        <v>549.9</v>
      </c>
      <c r="L13" s="12" t="str">
        <v>Costly</v>
      </c>
      <c r="M13" s="12">
        <v>0</v>
      </c>
      <c r="N13" s="12">
        <v>0</v>
      </c>
      <c r="O13" s="12">
        <v>0</v>
      </c>
      <c r="P13" s="12" t="s">
        <v>118</v>
      </c>
      <c r="Q13" s="12" t="s">
        <v>70</v>
      </c>
      <c r="R13" s="12" t="s">
        <v>71</v>
      </c>
      <c r="S13" s="12">
        <v>42485</v>
      </c>
      <c r="T13" s="12">
        <v>2020</v>
      </c>
      <c r="U13" s="13">
        <v>44105</v>
      </c>
      <c r="V13" s="12">
        <v>171143</v>
      </c>
      <c r="W13" s="12" t="s">
        <v>101</v>
      </c>
      <c r="X13" s="12" t="s">
        <v>102</v>
      </c>
      <c r="Y13" s="12" t="s">
        <v>103</v>
      </c>
      <c r="Z13" s="12" t="s">
        <v>104</v>
      </c>
      <c r="AA13" s="12" t="s">
        <v>105</v>
      </c>
      <c r="AB13" s="12">
        <v>28</v>
      </c>
      <c r="AC13" s="12" t="s">
        <v>106</v>
      </c>
      <c r="AD13" s="12" t="s">
        <v>107</v>
      </c>
      <c r="AE13" s="12" t="s">
        <v>108</v>
      </c>
      <c r="AF13" s="12" t="s">
        <v>109</v>
      </c>
      <c r="AG13" s="12" t="s">
        <v>110</v>
      </c>
      <c r="AH13" s="12" t="s">
        <v>111</v>
      </c>
      <c r="AI13" s="12" t="s">
        <v>112</v>
      </c>
      <c r="AJ13" s="12" t="s">
        <v>111</v>
      </c>
      <c r="AK13" s="12" t="s">
        <v>113</v>
      </c>
      <c r="AL13" s="12">
        <v>32042</v>
      </c>
      <c r="AM13" s="12" t="s">
        <v>85</v>
      </c>
      <c r="AN13" s="12" t="s">
        <v>114</v>
      </c>
      <c r="AO13" s="14">
        <v>3.6370249139999999</v>
      </c>
      <c r="AQ13" t="str">
        <f t="shared" si="0"/>
        <v>Lee</v>
      </c>
      <c r="AR13" t="str">
        <f t="shared" si="1"/>
        <v>Bradford</v>
      </c>
      <c r="AS13" t="str">
        <f t="shared" si="2"/>
        <v>LEE</v>
      </c>
      <c r="AT13" t="str">
        <f t="shared" si="3"/>
        <v>lee</v>
      </c>
      <c r="AU13">
        <f t="shared" si="4"/>
        <v>8</v>
      </c>
      <c r="AW13" t="str">
        <f t="shared" si="5"/>
        <v>ls</v>
      </c>
      <c r="AX13" t="str">
        <f t="shared" si="6"/>
        <v>ker</v>
      </c>
      <c r="AY13" t="str">
        <f t="shared" si="7"/>
        <v>seak</v>
      </c>
      <c r="AZ13" t="str">
        <f t="shared" si="8"/>
        <v>LeeSEaker</v>
      </c>
      <c r="BA13" t="e">
        <f t="shared" si="9"/>
        <v>#VALUE!</v>
      </c>
      <c r="BB13">
        <f t="shared" si="10"/>
        <v>2</v>
      </c>
      <c r="BC13" t="str">
        <f t="shared" si="11"/>
        <v>lREer</v>
      </c>
      <c r="BD13" t="str">
        <f t="shared" si="12"/>
        <v>Graham</v>
      </c>
      <c r="BF13">
        <f>DAY(F13)</f>
        <v>21</v>
      </c>
      <c r="BG13">
        <f>MONTH(F13)</f>
        <v>10</v>
      </c>
      <c r="BH13">
        <f>YEAR(F13)</f>
        <v>2020</v>
      </c>
      <c r="BI13" s="15">
        <f t="shared" si="13"/>
        <v>44125</v>
      </c>
    </row>
    <row r="14" spans="1:61" x14ac:dyDescent="0.35">
      <c r="E14" s="5">
        <v>100403034</v>
      </c>
      <c r="F14" s="6">
        <v>44189</v>
      </c>
      <c r="G14" s="7" t="s">
        <v>97</v>
      </c>
      <c r="H14" s="7">
        <v>656937</v>
      </c>
      <c r="I14" s="7" t="s">
        <v>120</v>
      </c>
      <c r="J14" s="7">
        <v>2</v>
      </c>
      <c r="K14" s="7">
        <v>254.8</v>
      </c>
      <c r="L14" s="7" t="str">
        <v>Costly</v>
      </c>
      <c r="M14" s="7">
        <v>254.8</v>
      </c>
      <c r="N14" s="7">
        <v>39.806280000000001</v>
      </c>
      <c r="O14" s="7">
        <v>214.99372</v>
      </c>
      <c r="P14" s="7" t="s">
        <v>118</v>
      </c>
      <c r="Q14" s="7" t="s">
        <v>121</v>
      </c>
      <c r="R14" s="7" t="s">
        <v>100</v>
      </c>
      <c r="S14" s="7">
        <v>42485</v>
      </c>
      <c r="T14" s="7">
        <v>2020</v>
      </c>
      <c r="U14" s="8">
        <v>44166</v>
      </c>
      <c r="V14" s="7">
        <v>171143</v>
      </c>
      <c r="W14" s="7" t="s">
        <v>101</v>
      </c>
      <c r="X14" s="7" t="s">
        <v>126</v>
      </c>
      <c r="Y14" s="7" t="s">
        <v>103</v>
      </c>
      <c r="Z14" s="7" t="s">
        <v>104</v>
      </c>
      <c r="AA14" s="7" t="s">
        <v>105</v>
      </c>
      <c r="AB14" s="7">
        <v>28</v>
      </c>
      <c r="AC14" s="7" t="s">
        <v>106</v>
      </c>
      <c r="AD14" s="7" t="s">
        <v>107</v>
      </c>
      <c r="AE14" s="7" t="s">
        <v>108</v>
      </c>
      <c r="AF14" s="7" t="s">
        <v>109</v>
      </c>
      <c r="AG14" s="7" t="s">
        <v>110</v>
      </c>
      <c r="AH14" s="7" t="s">
        <v>111</v>
      </c>
      <c r="AI14" s="7" t="s">
        <v>112</v>
      </c>
      <c r="AJ14" s="7" t="s">
        <v>111</v>
      </c>
      <c r="AK14" s="7" t="s">
        <v>113</v>
      </c>
      <c r="AL14" s="7">
        <v>32042</v>
      </c>
      <c r="AM14" s="7" t="s">
        <v>85</v>
      </c>
      <c r="AN14" s="7" t="s">
        <v>114</v>
      </c>
      <c r="AO14" s="9">
        <v>15.622558870000001</v>
      </c>
      <c r="AQ14" t="str">
        <f t="shared" si="0"/>
        <v>Lee</v>
      </c>
      <c r="AR14" t="str">
        <f t="shared" si="1"/>
        <v>Bradford</v>
      </c>
      <c r="AS14" t="str">
        <f t="shared" si="2"/>
        <v xml:space="preserve">     LEE</v>
      </c>
      <c r="AT14" t="str">
        <f t="shared" si="3"/>
        <v xml:space="preserve">     lee</v>
      </c>
      <c r="AU14">
        <f t="shared" si="4"/>
        <v>8</v>
      </c>
      <c r="AW14" t="str">
        <f t="shared" si="5"/>
        <v>ls</v>
      </c>
      <c r="AX14" t="str">
        <f t="shared" si="6"/>
        <v>ker</v>
      </c>
      <c r="AY14" t="str">
        <f t="shared" si="7"/>
        <v>seak</v>
      </c>
      <c r="AZ14" t="str">
        <f t="shared" si="8"/>
        <v xml:space="preserve">     LeeSEaker</v>
      </c>
      <c r="BA14" t="e">
        <f t="shared" si="9"/>
        <v>#VALUE!</v>
      </c>
      <c r="BB14">
        <f t="shared" si="10"/>
        <v>2</v>
      </c>
      <c r="BC14" t="str">
        <f t="shared" si="11"/>
        <v>lREer</v>
      </c>
      <c r="BD14" t="str">
        <f t="shared" si="12"/>
        <v>Graham</v>
      </c>
      <c r="BF14">
        <f>DAY(F14)</f>
        <v>24</v>
      </c>
      <c r="BG14">
        <f>MONTH(F14)</f>
        <v>12</v>
      </c>
      <c r="BH14">
        <f>YEAR(F14)</f>
        <v>2020</v>
      </c>
      <c r="BI14" s="15">
        <f t="shared" si="13"/>
        <v>44189</v>
      </c>
    </row>
    <row r="15" spans="1:61" x14ac:dyDescent="0.35">
      <c r="E15" s="10">
        <v>100403034</v>
      </c>
      <c r="F15" s="11">
        <v>44189</v>
      </c>
      <c r="G15" s="12" t="s">
        <v>97</v>
      </c>
      <c r="H15" s="12">
        <v>656938</v>
      </c>
      <c r="I15" s="12" t="s">
        <v>122</v>
      </c>
      <c r="J15" s="12">
        <v>2</v>
      </c>
      <c r="K15" s="12">
        <v>315.5</v>
      </c>
      <c r="L15" s="12" t="str">
        <v>Costly</v>
      </c>
      <c r="M15" s="12">
        <v>315.5</v>
      </c>
      <c r="N15" s="12">
        <v>49.289169999999999</v>
      </c>
      <c r="O15" s="12">
        <v>266.21082999999999</v>
      </c>
      <c r="P15" s="12" t="s">
        <v>118</v>
      </c>
      <c r="Q15" s="12" t="s">
        <v>121</v>
      </c>
      <c r="R15" s="12" t="s">
        <v>100</v>
      </c>
      <c r="S15" s="12">
        <v>42485</v>
      </c>
      <c r="T15" s="12">
        <v>2020</v>
      </c>
      <c r="U15" s="13">
        <v>44166</v>
      </c>
      <c r="V15" s="12">
        <v>171143</v>
      </c>
      <c r="W15" s="12"/>
      <c r="X15" s="12" t="s">
        <v>102</v>
      </c>
      <c r="Y15" s="12" t="s">
        <v>103</v>
      </c>
      <c r="Z15" s="12" t="s">
        <v>104</v>
      </c>
      <c r="AA15" s="12" t="s">
        <v>105</v>
      </c>
      <c r="AB15" s="12">
        <v>28</v>
      </c>
      <c r="AC15" s="12" t="s">
        <v>106</v>
      </c>
      <c r="AD15" s="12" t="s">
        <v>107</v>
      </c>
      <c r="AE15" s="12" t="s">
        <v>108</v>
      </c>
      <c r="AF15" s="12" t="s">
        <v>109</v>
      </c>
      <c r="AG15" s="12" t="s">
        <v>110</v>
      </c>
      <c r="AH15" s="12" t="s">
        <v>111</v>
      </c>
      <c r="AI15" s="12" t="s">
        <v>112</v>
      </c>
      <c r="AJ15" s="12" t="s">
        <v>111</v>
      </c>
      <c r="AK15" s="12" t="s">
        <v>113</v>
      </c>
      <c r="AL15" s="12">
        <v>32042</v>
      </c>
      <c r="AM15" s="12" t="s">
        <v>85</v>
      </c>
      <c r="AN15" s="12" t="s">
        <v>114</v>
      </c>
      <c r="AO15" s="14">
        <v>15.622557840000001</v>
      </c>
      <c r="AQ15" t="str">
        <f t="shared" si="0"/>
        <v>Lee</v>
      </c>
      <c r="AR15" t="str">
        <f t="shared" si="1"/>
        <v>Bradford</v>
      </c>
      <c r="AS15" t="str">
        <f t="shared" si="2"/>
        <v>LEE</v>
      </c>
      <c r="AT15" t="str">
        <f t="shared" si="3"/>
        <v>lee</v>
      </c>
      <c r="AU15">
        <f t="shared" si="4"/>
        <v>8</v>
      </c>
      <c r="AW15" t="str">
        <f t="shared" si="5"/>
        <v>ls</v>
      </c>
      <c r="AX15" t="str">
        <f t="shared" si="6"/>
        <v>ker</v>
      </c>
      <c r="AY15" t="str">
        <f t="shared" si="7"/>
        <v>seak</v>
      </c>
      <c r="AZ15" t="str">
        <f t="shared" si="8"/>
        <v>LeeSEaker</v>
      </c>
      <c r="BA15" t="e">
        <f t="shared" si="9"/>
        <v>#VALUE!</v>
      </c>
      <c r="BB15">
        <f t="shared" si="10"/>
        <v>2</v>
      </c>
      <c r="BC15" t="str">
        <f t="shared" si="11"/>
        <v>lREer</v>
      </c>
      <c r="BD15" t="str">
        <f t="shared" si="12"/>
        <v>Graham</v>
      </c>
      <c r="BF15">
        <f>DAY(F15)</f>
        <v>24</v>
      </c>
      <c r="BG15">
        <f>MONTH(F15)</f>
        <v>12</v>
      </c>
      <c r="BH15">
        <f>YEAR(F15)</f>
        <v>2020</v>
      </c>
      <c r="BI15" s="15">
        <f t="shared" si="13"/>
        <v>44189</v>
      </c>
    </row>
    <row r="16" spans="1:61" x14ac:dyDescent="0.35">
      <c r="E16" s="5">
        <v>100403034</v>
      </c>
      <c r="F16" s="6">
        <v>44189</v>
      </c>
      <c r="G16" s="7" t="s">
        <v>97</v>
      </c>
      <c r="H16" s="7">
        <v>656939</v>
      </c>
      <c r="I16" s="7" t="s">
        <v>123</v>
      </c>
      <c r="J16" s="7">
        <v>2</v>
      </c>
      <c r="K16" s="7">
        <v>69.8</v>
      </c>
      <c r="L16" s="7" t="str">
        <v>Affordable</v>
      </c>
      <c r="M16" s="7">
        <v>69.8</v>
      </c>
      <c r="N16" s="7">
        <v>10.90455</v>
      </c>
      <c r="O16" s="7">
        <v>58.895449999999997</v>
      </c>
      <c r="P16" s="7" t="s">
        <v>124</v>
      </c>
      <c r="Q16" s="7" t="s">
        <v>121</v>
      </c>
      <c r="R16" s="7" t="s">
        <v>100</v>
      </c>
      <c r="S16" s="7">
        <v>42485</v>
      </c>
      <c r="T16" s="7">
        <v>2020</v>
      </c>
      <c r="U16" s="8">
        <v>44166</v>
      </c>
      <c r="V16" s="7">
        <v>171143</v>
      </c>
      <c r="W16" s="7" t="s">
        <v>101</v>
      </c>
      <c r="X16" s="7" t="s">
        <v>102</v>
      </c>
      <c r="Y16" s="7" t="s">
        <v>103</v>
      </c>
      <c r="Z16" s="7" t="s">
        <v>104</v>
      </c>
      <c r="AA16" s="7" t="s">
        <v>105</v>
      </c>
      <c r="AB16" s="7">
        <v>28</v>
      </c>
      <c r="AC16" s="7" t="s">
        <v>106</v>
      </c>
      <c r="AD16" s="7" t="s">
        <v>107</v>
      </c>
      <c r="AE16" s="7" t="s">
        <v>108</v>
      </c>
      <c r="AF16" s="7" t="s">
        <v>109</v>
      </c>
      <c r="AG16" s="7" t="s">
        <v>110</v>
      </c>
      <c r="AH16" s="7" t="s">
        <v>111</v>
      </c>
      <c r="AI16" s="7" t="s">
        <v>112</v>
      </c>
      <c r="AJ16" s="7" t="s">
        <v>111</v>
      </c>
      <c r="AK16" s="7" t="s">
        <v>113</v>
      </c>
      <c r="AL16" s="7">
        <v>32042</v>
      </c>
      <c r="AM16" s="7" t="s">
        <v>85</v>
      </c>
      <c r="AN16" s="7" t="s">
        <v>114</v>
      </c>
      <c r="AO16" s="9">
        <v>15.62256447</v>
      </c>
      <c r="AQ16" t="str">
        <f t="shared" si="0"/>
        <v>Lee</v>
      </c>
      <c r="AR16" t="str">
        <f t="shared" si="1"/>
        <v>Bradford</v>
      </c>
      <c r="AS16" t="str">
        <f t="shared" si="2"/>
        <v>LEE</v>
      </c>
      <c r="AT16" t="str">
        <f t="shared" si="3"/>
        <v>lee</v>
      </c>
      <c r="AU16">
        <f t="shared" si="4"/>
        <v>8</v>
      </c>
      <c r="AW16" t="str">
        <f t="shared" si="5"/>
        <v>ls</v>
      </c>
      <c r="AX16" t="str">
        <f t="shared" si="6"/>
        <v>ker</v>
      </c>
      <c r="AY16" t="str">
        <f t="shared" si="7"/>
        <v>seak</v>
      </c>
      <c r="AZ16" t="str">
        <f t="shared" si="8"/>
        <v>LeeSEaker</v>
      </c>
      <c r="BA16" t="e">
        <f t="shared" si="9"/>
        <v>#VALUE!</v>
      </c>
      <c r="BB16">
        <f t="shared" si="10"/>
        <v>2</v>
      </c>
      <c r="BC16" t="str">
        <f t="shared" si="11"/>
        <v>lREer</v>
      </c>
      <c r="BD16" t="str">
        <f t="shared" si="12"/>
        <v>Graham</v>
      </c>
      <c r="BF16">
        <f>DAY(F16)</f>
        <v>24</v>
      </c>
      <c r="BG16">
        <f>MONTH(F16)</f>
        <v>12</v>
      </c>
      <c r="BH16">
        <f>YEAR(F16)</f>
        <v>2020</v>
      </c>
      <c r="BI16" s="15">
        <f t="shared" si="13"/>
        <v>44189</v>
      </c>
    </row>
    <row r="17" spans="5:61" x14ac:dyDescent="0.35">
      <c r="E17" s="10">
        <v>100403077</v>
      </c>
      <c r="F17" s="11">
        <v>44189</v>
      </c>
      <c r="G17" s="12" t="s">
        <v>97</v>
      </c>
      <c r="H17" s="12">
        <v>657023</v>
      </c>
      <c r="I17" s="12" t="s">
        <v>120</v>
      </c>
      <c r="J17" s="12">
        <v>2</v>
      </c>
      <c r="K17" s="12">
        <v>254.8</v>
      </c>
      <c r="L17" s="12" t="str">
        <v>Costly</v>
      </c>
      <c r="M17" s="12">
        <v>254.8</v>
      </c>
      <c r="N17" s="12">
        <v>39.806280000000001</v>
      </c>
      <c r="O17" s="12">
        <v>214.99372</v>
      </c>
      <c r="P17" s="12" t="s">
        <v>118</v>
      </c>
      <c r="Q17" s="12" t="s">
        <v>121</v>
      </c>
      <c r="R17" s="12" t="s">
        <v>100</v>
      </c>
      <c r="S17" s="12">
        <v>42485</v>
      </c>
      <c r="T17" s="12">
        <v>2020</v>
      </c>
      <c r="U17" s="13">
        <v>44166</v>
      </c>
      <c r="V17" s="12">
        <v>171143</v>
      </c>
      <c r="W17" s="12" t="s">
        <v>101</v>
      </c>
      <c r="X17" s="12" t="s">
        <v>102</v>
      </c>
      <c r="Y17" s="12" t="s">
        <v>103</v>
      </c>
      <c r="Z17" s="12" t="s">
        <v>104</v>
      </c>
      <c r="AA17" s="12" t="s">
        <v>105</v>
      </c>
      <c r="AB17" s="12">
        <v>28</v>
      </c>
      <c r="AC17" s="12" t="s">
        <v>106</v>
      </c>
      <c r="AD17" s="12" t="s">
        <v>107</v>
      </c>
      <c r="AE17" s="12" t="s">
        <v>108</v>
      </c>
      <c r="AF17" s="12" t="s">
        <v>109</v>
      </c>
      <c r="AG17" s="12" t="s">
        <v>110</v>
      </c>
      <c r="AH17" s="12" t="s">
        <v>111</v>
      </c>
      <c r="AI17" s="12" t="s">
        <v>112</v>
      </c>
      <c r="AJ17" s="12" t="s">
        <v>111</v>
      </c>
      <c r="AK17" s="12" t="s">
        <v>113</v>
      </c>
      <c r="AL17" s="12">
        <v>32042</v>
      </c>
      <c r="AM17" s="12" t="s">
        <v>85</v>
      </c>
      <c r="AN17" s="12" t="s">
        <v>114</v>
      </c>
      <c r="AO17" s="14">
        <v>15.622558870000001</v>
      </c>
      <c r="AQ17" t="str">
        <f t="shared" si="0"/>
        <v>Lee</v>
      </c>
      <c r="AR17" t="str">
        <f t="shared" si="1"/>
        <v>Bradford</v>
      </c>
      <c r="AS17" t="str">
        <f t="shared" si="2"/>
        <v>LEE</v>
      </c>
      <c r="AT17" t="str">
        <f t="shared" si="3"/>
        <v>lee</v>
      </c>
      <c r="AU17">
        <f t="shared" si="4"/>
        <v>8</v>
      </c>
      <c r="AW17" t="str">
        <f t="shared" si="5"/>
        <v>ls</v>
      </c>
      <c r="AX17" t="str">
        <f t="shared" si="6"/>
        <v>ker</v>
      </c>
      <c r="AY17" t="str">
        <f t="shared" si="7"/>
        <v>seak</v>
      </c>
      <c r="AZ17" t="str">
        <f t="shared" si="8"/>
        <v>LeeSEaker</v>
      </c>
      <c r="BA17" t="e">
        <f t="shared" si="9"/>
        <v>#VALUE!</v>
      </c>
      <c r="BB17">
        <f t="shared" si="10"/>
        <v>2</v>
      </c>
      <c r="BC17" t="str">
        <f t="shared" si="11"/>
        <v>lREer</v>
      </c>
      <c r="BD17" t="str">
        <f t="shared" si="12"/>
        <v>Graham</v>
      </c>
      <c r="BF17">
        <f>DAY(F17)</f>
        <v>24</v>
      </c>
      <c r="BG17">
        <f>MONTH(F17)</f>
        <v>12</v>
      </c>
      <c r="BH17">
        <f>YEAR(F17)</f>
        <v>2020</v>
      </c>
      <c r="BI17" s="15">
        <f t="shared" si="13"/>
        <v>44189</v>
      </c>
    </row>
    <row r="18" spans="5:61" x14ac:dyDescent="0.35">
      <c r="E18" s="5">
        <v>100403077</v>
      </c>
      <c r="F18" s="6">
        <v>44189</v>
      </c>
      <c r="G18" s="7" t="s">
        <v>97</v>
      </c>
      <c r="H18" s="7">
        <v>657024</v>
      </c>
      <c r="I18" s="7" t="s">
        <v>122</v>
      </c>
      <c r="J18" s="7">
        <v>2</v>
      </c>
      <c r="K18" s="7">
        <v>315.5</v>
      </c>
      <c r="L18" s="7" t="str">
        <v>Costly</v>
      </c>
      <c r="M18" s="7">
        <v>315.5</v>
      </c>
      <c r="N18" s="7">
        <v>49.289169999999999</v>
      </c>
      <c r="O18" s="7">
        <v>266.21082999999999</v>
      </c>
      <c r="P18" s="7" t="s">
        <v>118</v>
      </c>
      <c r="Q18" s="7" t="s">
        <v>121</v>
      </c>
      <c r="R18" s="7" t="s">
        <v>100</v>
      </c>
      <c r="S18" s="7">
        <v>42485</v>
      </c>
      <c r="T18" s="7">
        <v>2020</v>
      </c>
      <c r="U18" s="8">
        <v>44166</v>
      </c>
      <c r="V18" s="7">
        <v>171143</v>
      </c>
      <c r="W18" s="7"/>
      <c r="X18" s="7" t="s">
        <v>102</v>
      </c>
      <c r="Y18" s="7" t="s">
        <v>103</v>
      </c>
      <c r="Z18" s="7" t="s">
        <v>104</v>
      </c>
      <c r="AA18" s="7" t="s">
        <v>105</v>
      </c>
      <c r="AB18" s="7">
        <v>28</v>
      </c>
      <c r="AC18" s="7" t="s">
        <v>106</v>
      </c>
      <c r="AD18" s="7" t="s">
        <v>107</v>
      </c>
      <c r="AE18" s="7" t="s">
        <v>108</v>
      </c>
      <c r="AF18" s="7" t="s">
        <v>109</v>
      </c>
      <c r="AG18" s="7" t="s">
        <v>110</v>
      </c>
      <c r="AH18" s="7" t="s">
        <v>111</v>
      </c>
      <c r="AI18" s="7" t="s">
        <v>112</v>
      </c>
      <c r="AJ18" s="7" t="s">
        <v>111</v>
      </c>
      <c r="AK18" s="7" t="s">
        <v>113</v>
      </c>
      <c r="AL18" s="7">
        <v>32042</v>
      </c>
      <c r="AM18" s="7" t="s">
        <v>85</v>
      </c>
      <c r="AN18" s="7" t="s">
        <v>114</v>
      </c>
      <c r="AO18" s="9">
        <v>15.622557840000001</v>
      </c>
      <c r="AQ18" t="str">
        <f t="shared" si="0"/>
        <v>Lee</v>
      </c>
      <c r="AR18" t="str">
        <f t="shared" si="1"/>
        <v>Bradford</v>
      </c>
      <c r="AS18" t="str">
        <f t="shared" si="2"/>
        <v>LEE</v>
      </c>
      <c r="AT18" t="str">
        <f t="shared" si="3"/>
        <v>lee</v>
      </c>
      <c r="AU18">
        <f t="shared" si="4"/>
        <v>8</v>
      </c>
      <c r="AW18" t="str">
        <f t="shared" si="5"/>
        <v>ls</v>
      </c>
      <c r="AX18" t="str">
        <f t="shared" si="6"/>
        <v>ker</v>
      </c>
      <c r="AY18" t="str">
        <f t="shared" si="7"/>
        <v>seak</v>
      </c>
      <c r="AZ18" t="str">
        <f t="shared" si="8"/>
        <v>LeeSEaker</v>
      </c>
      <c r="BA18" t="e">
        <f t="shared" si="9"/>
        <v>#VALUE!</v>
      </c>
      <c r="BB18">
        <f t="shared" si="10"/>
        <v>2</v>
      </c>
      <c r="BC18" t="str">
        <f t="shared" si="11"/>
        <v>lREer</v>
      </c>
      <c r="BD18" t="str">
        <f t="shared" si="12"/>
        <v>Graham</v>
      </c>
      <c r="BF18">
        <f>DAY(F18)</f>
        <v>24</v>
      </c>
      <c r="BG18">
        <f>MONTH(F18)</f>
        <v>12</v>
      </c>
      <c r="BH18">
        <f>YEAR(F18)</f>
        <v>2020</v>
      </c>
      <c r="BI18" s="15">
        <f t="shared" si="13"/>
        <v>44189</v>
      </c>
    </row>
    <row r="19" spans="5:61" x14ac:dyDescent="0.35">
      <c r="E19" s="10">
        <v>100403077</v>
      </c>
      <c r="F19" s="11">
        <v>44189</v>
      </c>
      <c r="G19" s="12" t="s">
        <v>97</v>
      </c>
      <c r="H19" s="12">
        <v>657025</v>
      </c>
      <c r="I19" s="12" t="s">
        <v>123</v>
      </c>
      <c r="J19" s="12">
        <v>2</v>
      </c>
      <c r="K19" s="12">
        <v>69.8</v>
      </c>
      <c r="L19" s="12" t="str">
        <v>Affordable</v>
      </c>
      <c r="M19" s="12">
        <v>69.8</v>
      </c>
      <c r="N19" s="12">
        <v>10.90455</v>
      </c>
      <c r="O19" s="12">
        <v>58.895449999999997</v>
      </c>
      <c r="P19" s="12" t="s">
        <v>124</v>
      </c>
      <c r="Q19" s="12" t="s">
        <v>121</v>
      </c>
      <c r="R19" s="12" t="s">
        <v>100</v>
      </c>
      <c r="S19" s="12">
        <v>42485</v>
      </c>
      <c r="T19" s="12">
        <v>2020</v>
      </c>
      <c r="U19" s="13">
        <v>44166</v>
      </c>
      <c r="V19" s="12">
        <v>171143</v>
      </c>
      <c r="W19" s="12" t="s">
        <v>101</v>
      </c>
      <c r="X19" s="12" t="s">
        <v>102</v>
      </c>
      <c r="Y19" s="12" t="s">
        <v>103</v>
      </c>
      <c r="Z19" s="12" t="s">
        <v>104</v>
      </c>
      <c r="AA19" s="12" t="s">
        <v>105</v>
      </c>
      <c r="AB19" s="12">
        <v>28</v>
      </c>
      <c r="AC19" s="12" t="s">
        <v>106</v>
      </c>
      <c r="AD19" s="12" t="s">
        <v>107</v>
      </c>
      <c r="AE19" s="12" t="s">
        <v>108</v>
      </c>
      <c r="AF19" s="12" t="s">
        <v>109</v>
      </c>
      <c r="AG19" s="12" t="s">
        <v>110</v>
      </c>
      <c r="AH19" s="12" t="s">
        <v>111</v>
      </c>
      <c r="AI19" s="12" t="s">
        <v>112</v>
      </c>
      <c r="AJ19" s="12" t="s">
        <v>111</v>
      </c>
      <c r="AK19" s="12" t="s">
        <v>113</v>
      </c>
      <c r="AL19" s="12">
        <v>32042</v>
      </c>
      <c r="AM19" s="12" t="s">
        <v>85</v>
      </c>
      <c r="AN19" s="12" t="s">
        <v>114</v>
      </c>
      <c r="AO19" s="14">
        <v>15.62256447</v>
      </c>
      <c r="AQ19" t="str">
        <f t="shared" si="0"/>
        <v>Lee</v>
      </c>
      <c r="AR19" t="str">
        <f t="shared" si="1"/>
        <v>Bradford</v>
      </c>
      <c r="AS19" t="str">
        <f t="shared" si="2"/>
        <v>LEE</v>
      </c>
      <c r="AT19" t="str">
        <f t="shared" si="3"/>
        <v>lee</v>
      </c>
      <c r="AU19">
        <f t="shared" si="4"/>
        <v>8</v>
      </c>
      <c r="AW19" t="str">
        <f t="shared" si="5"/>
        <v>ls</v>
      </c>
      <c r="AX19" t="str">
        <f t="shared" si="6"/>
        <v>ker</v>
      </c>
      <c r="AY19" t="str">
        <f t="shared" si="7"/>
        <v>seak</v>
      </c>
      <c r="AZ19" t="str">
        <f t="shared" si="8"/>
        <v>LeeSEaker</v>
      </c>
      <c r="BA19" t="e">
        <f t="shared" si="9"/>
        <v>#VALUE!</v>
      </c>
      <c r="BB19">
        <f t="shared" si="10"/>
        <v>2</v>
      </c>
      <c r="BC19" t="str">
        <f t="shared" si="11"/>
        <v>lREer</v>
      </c>
      <c r="BD19" t="str">
        <f t="shared" si="12"/>
        <v>Graham</v>
      </c>
      <c r="BF19">
        <f>DAY(F19)</f>
        <v>24</v>
      </c>
      <c r="BG19">
        <f>MONTH(F19)</f>
        <v>12</v>
      </c>
      <c r="BH19">
        <f>YEAR(F19)</f>
        <v>2020</v>
      </c>
      <c r="BI19" s="15">
        <f t="shared" si="13"/>
        <v>44189</v>
      </c>
    </row>
    <row r="20" spans="5:61" x14ac:dyDescent="0.35">
      <c r="E20" s="5">
        <v>100403411</v>
      </c>
      <c r="F20" s="6">
        <v>44189</v>
      </c>
      <c r="G20" s="7" t="s">
        <v>97</v>
      </c>
      <c r="H20" s="7">
        <v>657547</v>
      </c>
      <c r="I20" s="7" t="s">
        <v>120</v>
      </c>
      <c r="J20" s="7">
        <v>2</v>
      </c>
      <c r="K20" s="7">
        <v>254.8</v>
      </c>
      <c r="L20" s="7" t="str">
        <v>Costly</v>
      </c>
      <c r="M20" s="7">
        <v>254.8</v>
      </c>
      <c r="N20" s="7">
        <v>39.806280000000001</v>
      </c>
      <c r="O20" s="7">
        <v>214.99372</v>
      </c>
      <c r="P20" s="7" t="s">
        <v>118</v>
      </c>
      <c r="Q20" s="7" t="s">
        <v>121</v>
      </c>
      <c r="R20" s="7" t="s">
        <v>100</v>
      </c>
      <c r="S20" s="7">
        <v>42485</v>
      </c>
      <c r="T20" s="7">
        <v>2020</v>
      </c>
      <c r="U20" s="8">
        <v>44166</v>
      </c>
      <c r="V20" s="7">
        <v>171143</v>
      </c>
      <c r="W20" s="7" t="s">
        <v>101</v>
      </c>
      <c r="X20" s="7" t="s">
        <v>126</v>
      </c>
      <c r="Y20" s="7" t="s">
        <v>103</v>
      </c>
      <c r="Z20" s="7" t="s">
        <v>104</v>
      </c>
      <c r="AA20" s="7" t="s">
        <v>105</v>
      </c>
      <c r="AB20" s="7">
        <v>28</v>
      </c>
      <c r="AC20" s="7" t="s">
        <v>106</v>
      </c>
      <c r="AD20" s="7" t="s">
        <v>107</v>
      </c>
      <c r="AE20" s="7" t="s">
        <v>108</v>
      </c>
      <c r="AF20" s="7" t="s">
        <v>109</v>
      </c>
      <c r="AG20" s="7" t="s">
        <v>110</v>
      </c>
      <c r="AH20" s="7" t="s">
        <v>111</v>
      </c>
      <c r="AI20" s="7" t="s">
        <v>127</v>
      </c>
      <c r="AJ20" s="7" t="s">
        <v>111</v>
      </c>
      <c r="AK20" s="7" t="s">
        <v>113</v>
      </c>
      <c r="AL20" s="7">
        <v>32042</v>
      </c>
      <c r="AM20" s="7" t="s">
        <v>85</v>
      </c>
      <c r="AN20" s="7" t="s">
        <v>114</v>
      </c>
      <c r="AO20" s="9">
        <v>15.622558870000001</v>
      </c>
      <c r="AQ20" t="str">
        <f t="shared" si="0"/>
        <v>Lee</v>
      </c>
      <c r="AR20" t="str">
        <f t="shared" si="1"/>
        <v>United State</v>
      </c>
      <c r="AS20" t="str">
        <f t="shared" si="2"/>
        <v xml:space="preserve">     LEE</v>
      </c>
      <c r="AT20" t="str">
        <f t="shared" si="3"/>
        <v xml:space="preserve">     lee</v>
      </c>
      <c r="AU20">
        <f t="shared" si="4"/>
        <v>12</v>
      </c>
      <c r="AW20" t="str">
        <f t="shared" si="5"/>
        <v>ls</v>
      </c>
      <c r="AX20" t="str">
        <f t="shared" si="6"/>
        <v>ker</v>
      </c>
      <c r="AY20" t="str">
        <f t="shared" si="7"/>
        <v>seak</v>
      </c>
      <c r="AZ20" t="str">
        <f t="shared" si="8"/>
        <v xml:space="preserve">     LeeSEaker</v>
      </c>
      <c r="BA20" t="e">
        <f t="shared" si="9"/>
        <v>#VALUE!</v>
      </c>
      <c r="BB20">
        <f t="shared" si="10"/>
        <v>2</v>
      </c>
      <c r="BC20" t="str">
        <f t="shared" si="11"/>
        <v>lREer</v>
      </c>
      <c r="BD20" t="str">
        <f t="shared" si="12"/>
        <v>Graham</v>
      </c>
      <c r="BF20">
        <f>DAY(F20)</f>
        <v>24</v>
      </c>
      <c r="BG20">
        <f>MONTH(F20)</f>
        <v>12</v>
      </c>
      <c r="BH20">
        <f>YEAR(F20)</f>
        <v>2020</v>
      </c>
      <c r="BI20" s="15">
        <f t="shared" si="13"/>
        <v>44189</v>
      </c>
    </row>
    <row r="22" spans="5:61" x14ac:dyDescent="0.35">
      <c r="F22" s="24" t="s">
        <v>139</v>
      </c>
      <c r="G22" s="24"/>
      <c r="H22" s="24" t="s">
        <v>142</v>
      </c>
      <c r="I22" s="24"/>
      <c r="J22" s="24"/>
    </row>
    <row r="23" spans="5:61" x14ac:dyDescent="0.35">
      <c r="F23" t="s">
        <v>140</v>
      </c>
      <c r="J23">
        <f>SUM(J2:J20)</f>
        <v>78</v>
      </c>
    </row>
    <row r="24" spans="5:61" x14ac:dyDescent="0.35">
      <c r="F24" t="s">
        <v>141</v>
      </c>
      <c r="H24" s="12" t="s">
        <v>94</v>
      </c>
      <c r="J24">
        <f>SUMIF(G2:G20,H24,J2:J20)</f>
        <v>4</v>
      </c>
    </row>
    <row r="25" spans="5:61" x14ac:dyDescent="0.35">
      <c r="F25" t="s">
        <v>143</v>
      </c>
      <c r="J25">
        <f>COUNT(J2:J20)</f>
        <v>19</v>
      </c>
    </row>
    <row r="26" spans="5:61" x14ac:dyDescent="0.35">
      <c r="F26" t="s">
        <v>144</v>
      </c>
      <c r="H26" s="7" t="s">
        <v>67</v>
      </c>
      <c r="J26">
        <f>COUNTIF(G2:G20,H26)</f>
        <v>4</v>
      </c>
    </row>
    <row r="27" spans="5:61" x14ac:dyDescent="0.35">
      <c r="F27" t="s">
        <v>145</v>
      </c>
      <c r="J27">
        <f>COUNTA(W2:W20)</f>
        <v>15</v>
      </c>
    </row>
    <row r="28" spans="5:61" x14ac:dyDescent="0.35">
      <c r="F28" t="s">
        <v>146</v>
      </c>
      <c r="J28">
        <f>COUNTBLANK(W2:W20)</f>
        <v>4</v>
      </c>
    </row>
    <row r="29" spans="5:61" x14ac:dyDescent="0.35">
      <c r="F29" t="s">
        <v>148</v>
      </c>
      <c r="J29" t="str">
        <f>IF(SUMIF(G2:G20,H24,J2:J20)&gt;=4,"Good Quality","Bad Quality")</f>
        <v>Good Quality</v>
      </c>
    </row>
    <row r="30" spans="5:61" x14ac:dyDescent="0.35">
      <c r="F30" t="s">
        <v>149</v>
      </c>
      <c r="H30" s="12" t="s">
        <v>94</v>
      </c>
      <c r="J30">
        <f>VLOOKUP(H30,G2:H20,2,FALSE)</f>
        <v>595192</v>
      </c>
    </row>
  </sheetData>
  <mergeCells count="3">
    <mergeCell ref="AQ1:AU1"/>
    <mergeCell ref="AW1:BD1"/>
    <mergeCell ref="BF1:BI1"/>
  </mergeCells>
  <conditionalFormatting sqref="E1:E20">
    <cfRule type="duplicateValues" dxfId="6" priority="4"/>
    <cfRule type="duplicateValues" dxfId="5" priority="5"/>
  </conditionalFormatting>
  <conditionalFormatting sqref="E2">
    <cfRule type="containsText" dxfId="4" priority="7" operator="containsText" text="refunded">
      <formula>NOT(ISERROR(SEARCH("refunded",E2)))</formula>
    </cfRule>
  </conditionalFormatting>
  <conditionalFormatting sqref="G1:G20">
    <cfRule type="containsText" dxfId="3" priority="6" operator="containsText" text="refunded">
      <formula>NOT(ISERROR(SEARCH("refunded",G1)))</formula>
    </cfRule>
  </conditionalFormatting>
  <conditionalFormatting sqref="H24">
    <cfRule type="containsText" dxfId="2" priority="3" operator="containsText" text="refunded">
      <formula>NOT(ISERROR(SEARCH("refunded",H24)))</formula>
    </cfRule>
  </conditionalFormatting>
  <conditionalFormatting sqref="H26">
    <cfRule type="containsText" dxfId="1" priority="2" operator="containsText" text="refunded">
      <formula>NOT(ISERROR(SEARCH("refunded",H26)))</formula>
    </cfRule>
  </conditionalFormatting>
  <conditionalFormatting sqref="H30">
    <cfRule type="containsText" dxfId="0" priority="1" operator="containsText" text="refunded">
      <formula>NOT(ISERROR(SEARCH("refunded",H30)))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 Reference</vt:lpstr>
      <vt:lpstr>Absolute Reference</vt:lpstr>
      <vt:lpstr>Mixed Reference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Dhakate</cp:lastModifiedBy>
  <dcterms:created xsi:type="dcterms:W3CDTF">2015-06-05T18:17:20Z</dcterms:created>
  <dcterms:modified xsi:type="dcterms:W3CDTF">2025-12-03T03:54:36Z</dcterms:modified>
</cp:coreProperties>
</file>