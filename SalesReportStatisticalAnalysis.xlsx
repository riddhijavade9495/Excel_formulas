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KnowledgeHut\"/>
    </mc:Choice>
  </mc:AlternateContent>
  <xr:revisionPtr revIDLastSave="0" documentId="13_ncr:1_{92A40891-1E0E-4364-AEB7-D09BD6705B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tistical Analysis" sheetId="1" r:id="rId1"/>
    <sheet name="Measure of Spread" sheetId="3" r:id="rId2"/>
    <sheet name="Sheet1" sheetId="4" r:id="rId3"/>
    <sheet name="Media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4" l="1"/>
  <c r="B4" i="4" s="1"/>
  <c r="C4" i="4" s="1"/>
  <c r="C44" i="3"/>
  <c r="C46" i="3"/>
  <c r="C45" i="3"/>
  <c r="C42" i="3"/>
  <c r="C37" i="3"/>
  <c r="C36" i="3"/>
  <c r="C41" i="3"/>
  <c r="C40" i="3"/>
  <c r="C35" i="3"/>
  <c r="G9" i="3"/>
  <c r="B3" i="3" s="1"/>
  <c r="C3" i="3" s="1"/>
  <c r="P37" i="1"/>
  <c r="P36" i="1"/>
  <c r="B17" i="2"/>
  <c r="B16" i="2"/>
  <c r="N35" i="1"/>
  <c r="T35" i="1"/>
  <c r="R35" i="1"/>
  <c r="P35" i="1" s="1"/>
  <c r="B9" i="4" l="1"/>
  <c r="C9" i="4" s="1"/>
  <c r="B8" i="4"/>
  <c r="C8" i="4" s="1"/>
  <c r="B7" i="4"/>
  <c r="C7" i="4" s="1"/>
  <c r="B10" i="4"/>
  <c r="C10" i="4" s="1"/>
  <c r="B5" i="4"/>
  <c r="C5" i="4" s="1"/>
  <c r="B3" i="4"/>
  <c r="C3" i="4" s="1"/>
  <c r="B2" i="4"/>
  <c r="C2" i="4" s="1"/>
  <c r="B6" i="4"/>
  <c r="C6" i="4" s="1"/>
  <c r="B26" i="3"/>
  <c r="C26" i="3" s="1"/>
  <c r="B25" i="3"/>
  <c r="C25" i="3" s="1"/>
  <c r="B23" i="3"/>
  <c r="C23" i="3" s="1"/>
  <c r="B13" i="3"/>
  <c r="C13" i="3" s="1"/>
  <c r="B12" i="3"/>
  <c r="C12" i="3" s="1"/>
  <c r="B8" i="3"/>
  <c r="C8" i="3" s="1"/>
  <c r="B24" i="3"/>
  <c r="C24" i="3" s="1"/>
  <c r="B14" i="3"/>
  <c r="C14" i="3" s="1"/>
  <c r="B11" i="3"/>
  <c r="C11" i="3" s="1"/>
  <c r="B9" i="3"/>
  <c r="C9" i="3" s="1"/>
  <c r="B22" i="3"/>
  <c r="C22" i="3" s="1"/>
  <c r="B10" i="3"/>
  <c r="C10" i="3" s="1"/>
  <c r="B21" i="3"/>
  <c r="C21" i="3" s="1"/>
  <c r="B2" i="3"/>
  <c r="C2" i="3" s="1"/>
  <c r="B20" i="3"/>
  <c r="C20" i="3" s="1"/>
  <c r="B31" i="3"/>
  <c r="C31" i="3" s="1"/>
  <c r="B19" i="3"/>
  <c r="C19" i="3" s="1"/>
  <c r="B7" i="3"/>
  <c r="C7" i="3" s="1"/>
  <c r="B30" i="3"/>
  <c r="C30" i="3" s="1"/>
  <c r="B18" i="3"/>
  <c r="C18" i="3" s="1"/>
  <c r="B6" i="3"/>
  <c r="C6" i="3" s="1"/>
  <c r="B29" i="3"/>
  <c r="C29" i="3" s="1"/>
  <c r="B17" i="3"/>
  <c r="C17" i="3" s="1"/>
  <c r="B5" i="3"/>
  <c r="C5" i="3" s="1"/>
  <c r="B28" i="3"/>
  <c r="C28" i="3" s="1"/>
  <c r="B16" i="3"/>
  <c r="C16" i="3" s="1"/>
  <c r="B4" i="3"/>
  <c r="C4" i="3" s="1"/>
  <c r="B27" i="3"/>
  <c r="C27" i="3" s="1"/>
  <c r="B15" i="3"/>
  <c r="C15" i="3" s="1"/>
  <c r="C11" i="4" l="1"/>
  <c r="C12" i="4" s="1"/>
  <c r="C13" i="4" s="1"/>
  <c r="C33" i="3"/>
  <c r="C39" i="3" l="1"/>
  <c r="C34" i="3"/>
</calcChain>
</file>

<file path=xl/sharedStrings.xml><?xml version="1.0" encoding="utf-8"?>
<sst xmlns="http://schemas.openxmlformats.org/spreadsheetml/2006/main" count="512" uniqueCount="234">
  <si>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</si>
  <si>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</si>
  <si>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</si>
  <si>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</si>
  <si>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</si>
  <si>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</si>
  <si>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</si>
  <si>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</si>
  <si>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</si>
  <si>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</si>
  <si>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</si>
  <si>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</si>
  <si>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</si>
  <si>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</si>
  <si>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</si>
  <si>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</si>
  <si>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</si>
  <si>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</si>
  <si>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</si>
  <si>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</si>
  <si>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</si>
  <si>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</si>
  <si>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</si>
  <si>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</si>
  <si>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</si>
  <si>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</si>
  <si>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</si>
  <si>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</si>
  <si>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</si>
  <si>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</si>
  <si>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</si>
  <si>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</si>
  <si>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</si>
  <si>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</si>
  <si>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</si>
  <si>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</si>
  <si>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</si>
  <si>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</si>
  <si>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</si>
  <si>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</si>
  <si>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</si>
  <si>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</si>
  <si>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</si>
  <si>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</si>
  <si>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</si>
  <si>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</si>
  <si>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</si>
  <si>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</si>
  <si>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</si>
  <si>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</si>
  <si>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</si>
  <si>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</si>
  <si>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</si>
  <si>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</si>
  <si>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</si>
  <si>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</si>
  <si>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</si>
  <si>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</si>
  <si>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</si>
  <si>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</si>
  <si>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</si>
  <si>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</si>
  <si>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</si>
  <si>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</si>
  <si>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</si>
  <si>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</si>
  <si>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</si>
  <si>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</si>
  <si>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</si>
  <si>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</si>
  <si>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</si>
  <si>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</si>
  <si>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</si>
  <si>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</si>
  <si>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</si>
  <si>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</si>
  <si>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</si>
  <si>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</si>
  <si>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</si>
  <si>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</si>
  <si>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</si>
  <si>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</si>
  <si>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</si>
  <si>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</si>
  <si>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</si>
  <si>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</si>
  <si>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</si>
  <si>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</si>
  <si>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</si>
  <si>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</si>
  <si>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</si>
  <si>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</si>
  <si>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</si>
  <si>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</si>
  <si>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</si>
  <si>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</si>
  <si>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</si>
  <si>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</si>
  <si>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</si>
  <si>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</si>
  <si>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</si>
  <si>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</si>
  <si>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</si>
  <si>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</si>
  <si>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</si>
  <si>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</si>
  <si>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</si>
  <si>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</si>
  <si>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</si>
  <si>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</si>
  <si>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</si>
  <si>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</si>
  <si>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</si>
  <si>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</si>
  <si>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</si>
  <si>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</si>
  <si>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</si>
  <si>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</si>
  <si>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</si>
  <si>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</si>
  <si>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</si>
  <si>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</si>
  <si>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</si>
  <si>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</si>
  <si>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</si>
  <si>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</si>
  <si>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</si>
  <si>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</si>
  <si>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</si>
  <si>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</si>
  <si>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</si>
  <si>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</si>
  <si>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</si>
  <si>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</si>
  <si>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</si>
  <si>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</si>
  <si>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</si>
  <si>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</si>
  <si>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</si>
  <si>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</si>
  <si>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</si>
  <si>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</si>
  <si>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</si>
  <si>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</si>
  <si>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</si>
  <si>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</si>
  <si>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</si>
  <si>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</si>
  <si>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</si>
  <si>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</si>
  <si>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</si>
  <si>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</si>
  <si>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</si>
  <si>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</si>
  <si>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</si>
  <si>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</si>
  <si>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</si>
  <si>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</si>
  <si>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</si>
  <si>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</si>
  <si>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</si>
  <si>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</si>
  <si>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</si>
  <si>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</si>
  <si>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</si>
  <si>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</si>
  <si>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</si>
  <si>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</si>
  <si>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</si>
  <si>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</si>
  <si>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</si>
  <si>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</si>
  <si>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</si>
  <si>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</si>
  <si>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</si>
  <si>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</si>
  <si>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</si>
  <si>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</si>
  <si>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</si>
  <si>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</si>
  <si>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</si>
  <si>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</si>
  <si>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</si>
  <si>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</si>
  <si>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</si>
  <si>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</si>
  <si>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</si>
  <si>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</si>
  <si>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</si>
  <si>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</si>
  <si>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</si>
  <si>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Statistical Analysis</t>
  </si>
  <si>
    <t>Mean</t>
  </si>
  <si>
    <t>Median</t>
  </si>
  <si>
    <t>Mode</t>
  </si>
  <si>
    <t>Sum Of Sales</t>
  </si>
  <si>
    <t>Count Of Sales</t>
  </si>
  <si>
    <t>Average Of Sales</t>
  </si>
  <si>
    <t xml:space="preserve">Mean </t>
  </si>
  <si>
    <t xml:space="preserve">Mode </t>
  </si>
  <si>
    <t>Population</t>
  </si>
  <si>
    <t xml:space="preserve">Find average of all values </t>
  </si>
  <si>
    <t>Substract average value from each given value</t>
  </si>
  <si>
    <t>find all square root of substracted values</t>
  </si>
  <si>
    <t xml:space="preserve">divide sum of all squared root values witrh total number (total count)of value </t>
  </si>
  <si>
    <t>Average</t>
  </si>
  <si>
    <t>Substraction average values from sales values</t>
  </si>
  <si>
    <t>Square root of values</t>
  </si>
  <si>
    <t>Total Sum of all square root values</t>
  </si>
  <si>
    <t>total sum of all squared root values</t>
  </si>
  <si>
    <t>Variance</t>
  </si>
  <si>
    <t>Manual Population Variance Steps</t>
  </si>
  <si>
    <t>Variance with formula</t>
  </si>
  <si>
    <t>Manual Sample Variance Steps</t>
  </si>
  <si>
    <t>divide sum of all squared root values witrh total number (total count)of value - 1</t>
  </si>
  <si>
    <t>Sample</t>
  </si>
  <si>
    <t>Standard Deviation</t>
  </si>
  <si>
    <t>Standard deviation is the square root of population variance</t>
  </si>
  <si>
    <t>Standard</t>
  </si>
  <si>
    <t>Deviation</t>
  </si>
  <si>
    <t>Deviation with formula</t>
  </si>
  <si>
    <t>Find 1st (25th) Quatile of all the values</t>
  </si>
  <si>
    <t>Find 3rd(75th) Quartile of all the values</t>
  </si>
  <si>
    <t>InterQuartile Range(IQR)</t>
  </si>
  <si>
    <t>To find IQR substract 75th quartile - 25th quartile</t>
  </si>
  <si>
    <t>InterQuartile</t>
  </si>
  <si>
    <t>Range</t>
  </si>
  <si>
    <t>First</t>
  </si>
  <si>
    <t>Third</t>
  </si>
  <si>
    <t>Describe 50 % of the ordered values from lowest to highest</t>
  </si>
  <si>
    <t>Values</t>
  </si>
  <si>
    <t>Substraction</t>
  </si>
  <si>
    <t>Square root</t>
  </si>
  <si>
    <t>Total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</si>
</sst>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4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CEAAB68-8082-4DDA-BD90-F19984C877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6350</xdr:colOff>
      <xdr:row>38</xdr:row>
      <xdr:rowOff>6350</xdr:rowOff>
    </xdr:from>
    <xdr:to>
      <xdr:col>17</xdr:col>
      <xdr:colOff>12700</xdr:colOff>
      <xdr:row>42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35B2D4-D578-DE6F-6460-767AAD1FD4FD}"/>
            </a:ext>
          </a:extLst>
        </xdr:cNvPr>
        <xdr:cNvSpPr txBox="1"/>
      </xdr:nvSpPr>
      <xdr:spPr>
        <a:xfrm>
          <a:off x="11671300" y="7175500"/>
          <a:ext cx="629285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The mean or average value</a:t>
          </a:r>
          <a:r>
            <a:rPr lang="en-IN" sz="1100" baseline="0"/>
            <a:t> is the most popular and well known </a:t>
          </a:r>
          <a:r>
            <a:rPr lang="en-IN" sz="1100" b="1" baseline="0"/>
            <a:t>measure of central tendency</a:t>
          </a:r>
          <a:br>
            <a:rPr lang="en-IN" sz="1100" baseline="0"/>
          </a:br>
          <a:r>
            <a:rPr lang="en-IN" sz="1100" baseline="0"/>
            <a:t>It is often used with continuous data, 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Mean is impacted by outliers</a:t>
          </a:r>
          <a:br>
            <a:rPr lang="en-IN" sz="1100" baseline="0"/>
          </a:br>
          <a:r>
            <a:rPr lang="en-IN" sz="1100" baseline="0"/>
            <a:t>Mean is equal to the sum of all values in the dataset divided by the number of values in the dataset</a:t>
          </a:r>
          <a:br>
            <a:rPr lang="en-IN" sz="1100" baseline="0"/>
          </a:br>
          <a:endParaRPr lang="en-IN" sz="1100"/>
        </a:p>
      </xdr:txBody>
    </xdr:sp>
    <xdr:clientData/>
  </xdr:twoCellAnchor>
  <xdr:twoCellAnchor>
    <xdr:from>
      <xdr:col>13</xdr:col>
      <xdr:colOff>6350</xdr:colOff>
      <xdr:row>42</xdr:row>
      <xdr:rowOff>177800</xdr:rowOff>
    </xdr:from>
    <xdr:to>
      <xdr:col>17</xdr:col>
      <xdr:colOff>6350</xdr:colOff>
      <xdr:row>46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2A69AE-67E8-8FCC-E00B-6986439BA7D3}"/>
            </a:ext>
          </a:extLst>
        </xdr:cNvPr>
        <xdr:cNvSpPr txBox="1"/>
      </xdr:nvSpPr>
      <xdr:spPr>
        <a:xfrm>
          <a:off x="11671300" y="8083550"/>
          <a:ext cx="6286500" cy="730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Median is a central value or a middle value that is retrieved</a:t>
          </a:r>
          <a:r>
            <a:rPr lang="en-IN" sz="1100" baseline="0"/>
            <a:t> after sorting the data in ascending or descending </a:t>
          </a:r>
          <a:br>
            <a:rPr lang="en-IN" sz="1100" baseline="0"/>
          </a:br>
          <a:r>
            <a:rPr lang="en-IN" sz="1100" baseline="0"/>
            <a:t>order. 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median is less affected by outliers  or skewed data</a:t>
          </a:r>
          <a:br>
            <a:rPr lang="en-IN" sz="1100" baseline="0"/>
          </a:br>
          <a:endParaRPr lang="en-IN" sz="1100"/>
        </a:p>
      </xdr:txBody>
    </xdr:sp>
    <xdr:clientData/>
  </xdr:twoCellAnchor>
  <xdr:twoCellAnchor>
    <xdr:from>
      <xdr:col>13</xdr:col>
      <xdr:colOff>6350</xdr:colOff>
      <xdr:row>47</xdr:row>
      <xdr:rowOff>165100</xdr:rowOff>
    </xdr:from>
    <xdr:to>
      <xdr:col>17</xdr:col>
      <xdr:colOff>0</xdr:colOff>
      <xdr:row>52</xdr:row>
      <xdr:rowOff>25400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0009E80-1A84-3770-A4C2-416B6BEF4B26}"/>
            </a:ext>
          </a:extLst>
        </xdr:cNvPr>
        <xdr:cNvSpPr txBox="1"/>
      </xdr:nvSpPr>
      <xdr:spPr>
        <a:xfrm>
          <a:off x="11671300" y="8991600"/>
          <a:ext cx="6280150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Mode is the most frequent number of the database </a:t>
          </a:r>
          <a:br>
            <a:rPr lang="en-IN" sz="1100"/>
          </a:br>
          <a:r>
            <a:rPr lang="en-IN" sz="1100"/>
            <a:t>A single</a:t>
          </a:r>
          <a:r>
            <a:rPr lang="en-IN" sz="1100" baseline="0"/>
            <a:t> value repeated multiple times in a dataset is considered to be the mode.</a:t>
          </a:r>
          <a:br>
            <a:rPr lang="en-IN" sz="1100" baseline="0"/>
          </a:br>
          <a:r>
            <a:rPr lang="en-IN" sz="1100" baseline="0"/>
            <a:t>This only can be calculated in the numerical fields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tabSelected="1" topLeftCell="L28" workbookViewId="0">
      <selection activeCell="P37" sqref="P37"/>
    </sheetView>
  </sheetViews>
  <sheetFormatPr defaultColWidth="11.36328125" defaultRowHeight="14.5" x14ac:dyDescent="0.35"/>
  <cols>
    <col min="2" max="2" width="14.453125" bestFit="1" customWidth="1"/>
    <col min="3" max="4" width="10.453125" bestFit="1" customWidth="1"/>
    <col min="5" max="5" width="13.08984375" bestFit="1" customWidth="1"/>
    <col min="6" max="6" width="11.81640625" customWidth="1"/>
    <col min="7" max="7" width="17" customWidth="1"/>
    <col min="9" max="9" width="13.453125" customWidth="1"/>
    <col min="10" max="10" width="14.90625" customWidth="1"/>
    <col min="11" max="11" width="12.54296875" customWidth="1"/>
    <col min="13" max="13" width="14.7265625" bestFit="1" customWidth="1"/>
    <col min="14" max="14" width="17.7265625" customWidth="1"/>
    <col min="15" max="15" width="17" customWidth="1"/>
    <col min="16" max="16" width="16.1796875" customWidth="1"/>
    <col min="17" max="17" width="39.08984375" customWidth="1"/>
    <col min="19" max="19" width="13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3" spans="13:20" ht="25" x14ac:dyDescent="0.5">
      <c r="O33" s="4" t="s">
        <v>191</v>
      </c>
      <c r="P33" s="5"/>
      <c r="Q33" s="5"/>
    </row>
    <row r="35" spans="13:20" ht="15.5" x14ac:dyDescent="0.35">
      <c r="M35" t="s">
        <v>197</v>
      </c>
      <c r="N35">
        <f>AVERAGE(R2:R31)</f>
        <v>389.30198333333334</v>
      </c>
      <c r="O35" s="3" t="s">
        <v>192</v>
      </c>
      <c r="P35">
        <f>R35/T35</f>
        <v>389.30198333333334</v>
      </c>
      <c r="Q35" t="s">
        <v>195</v>
      </c>
      <c r="R35">
        <f>SUM(R2:R31)</f>
        <v>11679.059499999999</v>
      </c>
      <c r="S35" t="s">
        <v>196</v>
      </c>
      <c r="T35">
        <f>COUNT(R2:R31)</f>
        <v>30</v>
      </c>
    </row>
    <row r="36" spans="13:20" ht="15.5" x14ac:dyDescent="0.35">
      <c r="O36" s="3" t="s">
        <v>193</v>
      </c>
      <c r="P36">
        <f>MEDIAN(R2:R31)</f>
        <v>70.091000000000008</v>
      </c>
    </row>
    <row r="37" spans="13:20" ht="15.5" x14ac:dyDescent="0.35">
      <c r="O37" s="3" t="s">
        <v>194</v>
      </c>
      <c r="P37">
        <f>MODE(S2:S31)</f>
        <v>3</v>
      </c>
    </row>
    <row r="39" spans="13:20" x14ac:dyDescent="0.35">
      <c r="M39" s="2" t="s">
        <v>198</v>
      </c>
    </row>
    <row r="44" spans="13:20" x14ac:dyDescent="0.35">
      <c r="M44" s="2" t="s">
        <v>193</v>
      </c>
    </row>
    <row r="49" spans="13:13" x14ac:dyDescent="0.35">
      <c r="M49" s="2" t="s">
        <v>199</v>
      </c>
    </row>
  </sheetData>
  <mergeCells count="1">
    <mergeCell ref="O33:Q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9E8D-0AA0-476F-BA06-A0322C78011E}">
  <dimension ref="A1:H46"/>
  <sheetViews>
    <sheetView workbookViewId="0">
      <selection activeCell="C39" sqref="C39"/>
    </sheetView>
  </sheetViews>
  <sheetFormatPr defaultRowHeight="14.5" x14ac:dyDescent="0.35"/>
  <cols>
    <col min="1" max="1" width="9.81640625" bestFit="1" customWidth="1"/>
    <col min="2" max="2" width="39.54296875" customWidth="1"/>
    <col min="3" max="3" width="18.7265625" bestFit="1" customWidth="1"/>
    <col min="8" max="8" width="37.90625" customWidth="1"/>
  </cols>
  <sheetData>
    <row r="1" spans="1:8" x14ac:dyDescent="0.35">
      <c r="A1" t="s">
        <v>17</v>
      </c>
      <c r="B1" t="s">
        <v>206</v>
      </c>
      <c r="C1" t="s">
        <v>207</v>
      </c>
    </row>
    <row r="2" spans="1:8" x14ac:dyDescent="0.35">
      <c r="A2">
        <v>261.95999999999998</v>
      </c>
      <c r="B2">
        <f t="shared" ref="B2:B31" si="0">A2-G$9</f>
        <v>-127.34198333333336</v>
      </c>
      <c r="C2">
        <f>B2^2</f>
        <v>16215.98071926695</v>
      </c>
      <c r="F2" s="6" t="s">
        <v>211</v>
      </c>
      <c r="G2" s="6"/>
      <c r="H2" s="6"/>
    </row>
    <row r="3" spans="1:8" x14ac:dyDescent="0.35">
      <c r="A3">
        <v>731.94</v>
      </c>
      <c r="B3">
        <f t="shared" si="0"/>
        <v>342.63801666666672</v>
      </c>
      <c r="C3">
        <f t="shared" ref="C3:C31" si="1">B3^2</f>
        <v>117400.81046526697</v>
      </c>
      <c r="F3">
        <v>1</v>
      </c>
      <c r="G3" t="s">
        <v>201</v>
      </c>
    </row>
    <row r="4" spans="1:8" x14ac:dyDescent="0.35">
      <c r="A4">
        <v>14.62</v>
      </c>
      <c r="B4">
        <f t="shared" si="0"/>
        <v>-374.68198333333333</v>
      </c>
      <c r="C4">
        <f t="shared" si="1"/>
        <v>140386.58863460028</v>
      </c>
      <c r="F4">
        <v>2</v>
      </c>
      <c r="G4" t="s">
        <v>202</v>
      </c>
    </row>
    <row r="5" spans="1:8" x14ac:dyDescent="0.35">
      <c r="A5">
        <v>957.57749999999999</v>
      </c>
      <c r="B5">
        <f t="shared" si="0"/>
        <v>568.27551666666659</v>
      </c>
      <c r="C5">
        <f t="shared" si="1"/>
        <v>322937.06284276687</v>
      </c>
      <c r="F5">
        <v>3</v>
      </c>
      <c r="G5" t="s">
        <v>203</v>
      </c>
    </row>
    <row r="6" spans="1:8" x14ac:dyDescent="0.35">
      <c r="A6">
        <v>22.367999999999999</v>
      </c>
      <c r="B6">
        <f t="shared" si="0"/>
        <v>-366.93398333333334</v>
      </c>
      <c r="C6">
        <f t="shared" si="1"/>
        <v>134640.54812486694</v>
      </c>
      <c r="F6">
        <v>4</v>
      </c>
      <c r="G6" t="s">
        <v>209</v>
      </c>
    </row>
    <row r="7" spans="1:8" x14ac:dyDescent="0.35">
      <c r="A7">
        <v>48.86</v>
      </c>
      <c r="B7">
        <f t="shared" si="0"/>
        <v>-340.44198333333333</v>
      </c>
      <c r="C7">
        <f t="shared" si="1"/>
        <v>115900.74401593361</v>
      </c>
      <c r="F7">
        <v>5</v>
      </c>
      <c r="G7" t="s">
        <v>204</v>
      </c>
    </row>
    <row r="8" spans="1:8" x14ac:dyDescent="0.35">
      <c r="A8">
        <v>7.28</v>
      </c>
      <c r="B8">
        <f t="shared" si="0"/>
        <v>-382.02198333333337</v>
      </c>
      <c r="C8">
        <f t="shared" si="1"/>
        <v>145940.79574993363</v>
      </c>
    </row>
    <row r="9" spans="1:8" x14ac:dyDescent="0.35">
      <c r="A9">
        <v>907.15200000000004</v>
      </c>
      <c r="B9">
        <f t="shared" si="0"/>
        <v>517.85001666666676</v>
      </c>
      <c r="C9">
        <f t="shared" si="1"/>
        <v>268168.63976166706</v>
      </c>
      <c r="F9" t="s">
        <v>205</v>
      </c>
      <c r="G9">
        <f>AVERAGE(A2:A31)</f>
        <v>389.30198333333334</v>
      </c>
    </row>
    <row r="10" spans="1:8" x14ac:dyDescent="0.35">
      <c r="A10">
        <v>18.504000000000001</v>
      </c>
      <c r="B10">
        <f t="shared" si="0"/>
        <v>-370.79798333333332</v>
      </c>
      <c r="C10">
        <f t="shared" si="1"/>
        <v>137491.14444406694</v>
      </c>
    </row>
    <row r="11" spans="1:8" x14ac:dyDescent="0.35">
      <c r="A11">
        <v>114.9</v>
      </c>
      <c r="B11">
        <f t="shared" si="0"/>
        <v>-274.40198333333331</v>
      </c>
      <c r="C11">
        <f t="shared" si="1"/>
        <v>75296.448457266932</v>
      </c>
      <c r="F11" s="6" t="s">
        <v>213</v>
      </c>
      <c r="G11" s="6"/>
      <c r="H11" s="6"/>
    </row>
    <row r="12" spans="1:8" x14ac:dyDescent="0.35">
      <c r="A12">
        <v>1706.184</v>
      </c>
      <c r="B12">
        <f t="shared" si="0"/>
        <v>1316.8820166666667</v>
      </c>
      <c r="C12">
        <f t="shared" si="1"/>
        <v>1734178.2458200669</v>
      </c>
      <c r="F12">
        <v>1</v>
      </c>
      <c r="G12" t="s">
        <v>201</v>
      </c>
    </row>
    <row r="13" spans="1:8" x14ac:dyDescent="0.35">
      <c r="A13">
        <v>911.42399999999998</v>
      </c>
      <c r="B13">
        <f t="shared" si="0"/>
        <v>522.1220166666667</v>
      </c>
      <c r="C13">
        <f t="shared" si="1"/>
        <v>272611.400288067</v>
      </c>
      <c r="F13">
        <v>2</v>
      </c>
      <c r="G13" t="s">
        <v>202</v>
      </c>
    </row>
    <row r="14" spans="1:8" x14ac:dyDescent="0.35">
      <c r="A14">
        <v>15.552</v>
      </c>
      <c r="B14">
        <f t="shared" si="0"/>
        <v>-373.74998333333332</v>
      </c>
      <c r="C14">
        <f t="shared" si="1"/>
        <v>139689.05004166692</v>
      </c>
      <c r="F14">
        <v>3</v>
      </c>
      <c r="G14" t="s">
        <v>203</v>
      </c>
    </row>
    <row r="15" spans="1:8" x14ac:dyDescent="0.35">
      <c r="A15">
        <v>407.976</v>
      </c>
      <c r="B15">
        <f t="shared" si="0"/>
        <v>18.67401666666666</v>
      </c>
      <c r="C15">
        <f t="shared" si="1"/>
        <v>348.71889846694415</v>
      </c>
      <c r="F15">
        <v>4</v>
      </c>
      <c r="G15" t="s">
        <v>209</v>
      </c>
    </row>
    <row r="16" spans="1:8" x14ac:dyDescent="0.35">
      <c r="A16">
        <v>68.81</v>
      </c>
      <c r="B16">
        <f t="shared" si="0"/>
        <v>-320.49198333333334</v>
      </c>
      <c r="C16">
        <f t="shared" si="1"/>
        <v>102715.11138093361</v>
      </c>
      <c r="F16">
        <v>5</v>
      </c>
      <c r="G16" t="s">
        <v>214</v>
      </c>
    </row>
    <row r="17" spans="1:8" x14ac:dyDescent="0.35">
      <c r="A17">
        <v>2.544</v>
      </c>
      <c r="B17">
        <f t="shared" si="0"/>
        <v>-386.75798333333336</v>
      </c>
      <c r="C17">
        <f t="shared" si="1"/>
        <v>149581.73767206696</v>
      </c>
    </row>
    <row r="18" spans="1:8" x14ac:dyDescent="0.35">
      <c r="A18">
        <v>665.88</v>
      </c>
      <c r="B18">
        <f t="shared" si="0"/>
        <v>276.57801666666666</v>
      </c>
      <c r="C18">
        <f t="shared" si="1"/>
        <v>76495.399303266939</v>
      </c>
      <c r="F18" s="6" t="s">
        <v>216</v>
      </c>
      <c r="G18" s="6"/>
      <c r="H18" s="6"/>
    </row>
    <row r="19" spans="1:8" x14ac:dyDescent="0.35">
      <c r="A19">
        <v>55.5</v>
      </c>
      <c r="B19">
        <f t="shared" si="0"/>
        <v>-333.80198333333334</v>
      </c>
      <c r="C19">
        <f t="shared" si="1"/>
        <v>111423.76407726695</v>
      </c>
      <c r="F19">
        <v>1</v>
      </c>
      <c r="G19" t="s">
        <v>217</v>
      </c>
    </row>
    <row r="20" spans="1:8" x14ac:dyDescent="0.35">
      <c r="A20">
        <v>8.56</v>
      </c>
      <c r="B20">
        <f t="shared" si="0"/>
        <v>-380.74198333333334</v>
      </c>
      <c r="C20">
        <f t="shared" si="1"/>
        <v>144964.45787260029</v>
      </c>
    </row>
    <row r="21" spans="1:8" x14ac:dyDescent="0.35">
      <c r="A21">
        <v>213.48</v>
      </c>
      <c r="B21">
        <f t="shared" si="0"/>
        <v>-175.82198333333335</v>
      </c>
      <c r="C21">
        <f t="shared" si="1"/>
        <v>30913.369823266949</v>
      </c>
      <c r="F21" s="6" t="s">
        <v>223</v>
      </c>
      <c r="G21" s="6"/>
      <c r="H21" s="6"/>
    </row>
    <row r="22" spans="1:8" x14ac:dyDescent="0.35">
      <c r="A22">
        <v>22.72</v>
      </c>
      <c r="B22">
        <f t="shared" si="0"/>
        <v>-366.58198333333337</v>
      </c>
      <c r="C22">
        <f t="shared" si="1"/>
        <v>134382.3505046003</v>
      </c>
      <c r="F22">
        <v>1</v>
      </c>
      <c r="G22" t="s">
        <v>221</v>
      </c>
    </row>
    <row r="23" spans="1:8" x14ac:dyDescent="0.35">
      <c r="A23">
        <v>19.46</v>
      </c>
      <c r="B23">
        <f t="shared" si="0"/>
        <v>-369.84198333333336</v>
      </c>
      <c r="C23">
        <f t="shared" si="1"/>
        <v>136783.09263593363</v>
      </c>
      <c r="F23">
        <v>2</v>
      </c>
      <c r="G23" t="s">
        <v>222</v>
      </c>
    </row>
    <row r="24" spans="1:8" x14ac:dyDescent="0.35">
      <c r="A24">
        <v>60.34</v>
      </c>
      <c r="B24">
        <f t="shared" si="0"/>
        <v>-328.96198333333336</v>
      </c>
      <c r="C24">
        <f t="shared" si="1"/>
        <v>108215.9864786003</v>
      </c>
      <c r="F24">
        <v>3</v>
      </c>
      <c r="G24" t="s">
        <v>224</v>
      </c>
    </row>
    <row r="25" spans="1:8" x14ac:dyDescent="0.35">
      <c r="A25">
        <v>71.372</v>
      </c>
      <c r="B25">
        <f t="shared" si="0"/>
        <v>-317.92998333333333</v>
      </c>
      <c r="C25">
        <f t="shared" si="1"/>
        <v>101079.47430233361</v>
      </c>
      <c r="F25" t="s">
        <v>229</v>
      </c>
    </row>
    <row r="26" spans="1:8" x14ac:dyDescent="0.35">
      <c r="A26">
        <v>1044.6300000000001</v>
      </c>
      <c r="B26">
        <f t="shared" si="0"/>
        <v>655.32801666666683</v>
      </c>
      <c r="C26">
        <f t="shared" si="1"/>
        <v>429454.80942826718</v>
      </c>
    </row>
    <row r="27" spans="1:8" x14ac:dyDescent="0.35">
      <c r="A27">
        <v>11.648</v>
      </c>
      <c r="B27">
        <f t="shared" si="0"/>
        <v>-377.65398333333331</v>
      </c>
      <c r="C27">
        <f t="shared" si="1"/>
        <v>142622.53112753358</v>
      </c>
    </row>
    <row r="28" spans="1:8" x14ac:dyDescent="0.35">
      <c r="A28">
        <v>90.57</v>
      </c>
      <c r="B28">
        <f t="shared" si="0"/>
        <v>-298.73198333333335</v>
      </c>
      <c r="C28">
        <f t="shared" si="1"/>
        <v>89240.797866266948</v>
      </c>
    </row>
    <row r="29" spans="1:8" x14ac:dyDescent="0.35">
      <c r="A29">
        <v>3083.43</v>
      </c>
      <c r="B29">
        <f t="shared" si="0"/>
        <v>2694.1280166666666</v>
      </c>
      <c r="C29">
        <f t="shared" si="1"/>
        <v>7258325.7701882664</v>
      </c>
    </row>
    <row r="30" spans="1:8" x14ac:dyDescent="0.35">
      <c r="A30">
        <v>9.6180000000000003</v>
      </c>
      <c r="B30">
        <f t="shared" si="0"/>
        <v>-379.68398333333334</v>
      </c>
      <c r="C30">
        <f t="shared" si="1"/>
        <v>144159.92719986694</v>
      </c>
    </row>
    <row r="31" spans="1:8" x14ac:dyDescent="0.35">
      <c r="A31">
        <v>124.2</v>
      </c>
      <c r="B31">
        <f t="shared" si="0"/>
        <v>-265.10198333333335</v>
      </c>
      <c r="C31">
        <f t="shared" si="1"/>
        <v>70279.061567266952</v>
      </c>
    </row>
    <row r="33" spans="1:3" x14ac:dyDescent="0.35">
      <c r="B33" t="s">
        <v>208</v>
      </c>
      <c r="C33">
        <f>SUM(C2:C31)</f>
        <v>12851843.819692241</v>
      </c>
    </row>
    <row r="34" spans="1:3" x14ac:dyDescent="0.35">
      <c r="A34" s="2" t="s">
        <v>200</v>
      </c>
      <c r="B34" s="2" t="s">
        <v>210</v>
      </c>
      <c r="C34" s="2">
        <f>C33/COUNT(A2:A31)</f>
        <v>428394.79398974136</v>
      </c>
    </row>
    <row r="35" spans="1:3" x14ac:dyDescent="0.35">
      <c r="A35" s="2" t="s">
        <v>200</v>
      </c>
      <c r="B35" s="2" t="s">
        <v>212</v>
      </c>
      <c r="C35" s="2">
        <f>_xlfn.VAR.P(A2:A31)</f>
        <v>428394.79398974153</v>
      </c>
    </row>
    <row r="36" spans="1:3" x14ac:dyDescent="0.35">
      <c r="A36" s="2" t="s">
        <v>218</v>
      </c>
      <c r="B36" s="2" t="s">
        <v>219</v>
      </c>
      <c r="C36" s="2">
        <f>SQRT(C34)</f>
        <v>654.5187499145776</v>
      </c>
    </row>
    <row r="37" spans="1:3" x14ac:dyDescent="0.35">
      <c r="A37" s="2" t="s">
        <v>218</v>
      </c>
      <c r="B37" s="2" t="s">
        <v>220</v>
      </c>
      <c r="C37" s="2">
        <f>_xlfn.STDEV.P(A2:A31)</f>
        <v>654.51874991457771</v>
      </c>
    </row>
    <row r="39" spans="1:3" x14ac:dyDescent="0.35">
      <c r="A39" s="2" t="s">
        <v>215</v>
      </c>
      <c r="B39" s="2" t="s">
        <v>210</v>
      </c>
      <c r="C39" s="2">
        <f>C33/(COUNT(A2:A31)-1)</f>
        <v>443167.02826524968</v>
      </c>
    </row>
    <row r="40" spans="1:3" x14ac:dyDescent="0.35">
      <c r="A40" s="2" t="s">
        <v>215</v>
      </c>
      <c r="B40" s="2" t="s">
        <v>212</v>
      </c>
      <c r="C40" s="2">
        <f>_xlfn.VAR.S(A2:A31)</f>
        <v>443167.02826524986</v>
      </c>
    </row>
    <row r="41" spans="1:3" x14ac:dyDescent="0.35">
      <c r="A41" s="2" t="s">
        <v>218</v>
      </c>
      <c r="B41" s="2" t="s">
        <v>219</v>
      </c>
      <c r="C41" s="2">
        <f>SQRT(C39)</f>
        <v>665.70791512888718</v>
      </c>
    </row>
    <row r="42" spans="1:3" x14ac:dyDescent="0.35">
      <c r="A42" s="2" t="s">
        <v>218</v>
      </c>
      <c r="B42" s="2" t="s">
        <v>220</v>
      </c>
      <c r="C42" s="2">
        <f>_xlfn.STDEV.S(A2:A31)</f>
        <v>665.70791512888729</v>
      </c>
    </row>
    <row r="44" spans="1:3" x14ac:dyDescent="0.35">
      <c r="A44" s="2" t="s">
        <v>225</v>
      </c>
      <c r="B44" s="2" t="s">
        <v>226</v>
      </c>
      <c r="C44">
        <f>C46-C45</f>
        <v>582.66099999999994</v>
      </c>
    </row>
    <row r="45" spans="1:3" x14ac:dyDescent="0.35">
      <c r="A45" s="2" t="s">
        <v>227</v>
      </c>
      <c r="C45">
        <f>QUARTILE(A2:A31,1)</f>
        <v>18.743000000000002</v>
      </c>
    </row>
    <row r="46" spans="1:3" x14ac:dyDescent="0.35">
      <c r="A46" s="2" t="s">
        <v>228</v>
      </c>
      <c r="C46">
        <f>QUARTILE(A2:A31,3)</f>
        <v>601.404</v>
      </c>
    </row>
  </sheetData>
  <mergeCells count="4">
    <mergeCell ref="F2:H2"/>
    <mergeCell ref="F11:H11"/>
    <mergeCell ref="F18:H18"/>
    <mergeCell ref="F21:H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0A80E-FC4E-42BC-A769-DFC1018A2C14}">
  <dimension ref="A1:D13"/>
  <sheetViews>
    <sheetView workbookViewId="0">
      <selection activeCell="B12" sqref="B12"/>
    </sheetView>
  </sheetViews>
  <sheetFormatPr defaultRowHeight="14.5" x14ac:dyDescent="0.35"/>
  <sheetData>
    <row r="1" spans="1:4" x14ac:dyDescent="0.35">
      <c r="A1" t="s">
        <v>230</v>
      </c>
      <c r="B1" t="s">
        <v>231</v>
      </c>
      <c r="C1" t="s">
        <v>232</v>
      </c>
      <c r="D1" t="s">
        <v>205</v>
      </c>
    </row>
    <row r="2" spans="1:4" x14ac:dyDescent="0.35">
      <c r="A2">
        <v>66</v>
      </c>
      <c r="B2">
        <f>A2-D$2</f>
        <v>-3.2000000000000028</v>
      </c>
      <c r="C2">
        <f>B2^2</f>
        <v>10.240000000000018</v>
      </c>
      <c r="D2">
        <f>AVERAGE(A2:A10)</f>
        <v>69.2</v>
      </c>
    </row>
    <row r="3" spans="1:4" x14ac:dyDescent="0.35">
      <c r="A3">
        <v>69.599999999999994</v>
      </c>
      <c r="B3">
        <f>A3-D$2</f>
        <v>0.39999999999999147</v>
      </c>
      <c r="C3">
        <f t="shared" ref="C3:C10" si="0">B3^2</f>
        <v>0.15999999999999318</v>
      </c>
    </row>
    <row r="4" spans="1:4" x14ac:dyDescent="0.35">
      <c r="A4">
        <v>68.400000000000006</v>
      </c>
      <c r="B4">
        <f>A4-D$2</f>
        <v>-0.79999999999999716</v>
      </c>
      <c r="C4">
        <f t="shared" si="0"/>
        <v>0.63999999999999546</v>
      </c>
    </row>
    <row r="5" spans="1:4" x14ac:dyDescent="0.35">
      <c r="A5">
        <v>70.8</v>
      </c>
      <c r="B5">
        <f>A5-D$2</f>
        <v>1.5999999999999943</v>
      </c>
      <c r="C5">
        <f t="shared" si="0"/>
        <v>2.5599999999999818</v>
      </c>
    </row>
    <row r="6" spans="1:4" x14ac:dyDescent="0.35">
      <c r="A6">
        <v>74.400000000000006</v>
      </c>
      <c r="B6">
        <f>A6-D$2</f>
        <v>5.2000000000000028</v>
      </c>
      <c r="C6">
        <f t="shared" si="0"/>
        <v>27.040000000000031</v>
      </c>
    </row>
    <row r="7" spans="1:4" x14ac:dyDescent="0.35">
      <c r="A7">
        <v>72</v>
      </c>
      <c r="B7">
        <f>A7-D$2</f>
        <v>2.7999999999999972</v>
      </c>
      <c r="C7">
        <f t="shared" si="0"/>
        <v>7.8399999999999839</v>
      </c>
    </row>
    <row r="8" spans="1:4" x14ac:dyDescent="0.35">
      <c r="A8">
        <v>66</v>
      </c>
      <c r="B8">
        <f>A8-D$2</f>
        <v>-3.2000000000000028</v>
      </c>
      <c r="C8">
        <f t="shared" si="0"/>
        <v>10.240000000000018</v>
      </c>
    </row>
    <row r="9" spans="1:4" x14ac:dyDescent="0.35">
      <c r="A9">
        <v>67.2</v>
      </c>
      <c r="B9">
        <f>A9-D$2</f>
        <v>-2</v>
      </c>
      <c r="C9">
        <f t="shared" si="0"/>
        <v>4</v>
      </c>
    </row>
    <row r="10" spans="1:4" x14ac:dyDescent="0.35">
      <c r="A10">
        <v>68.400000000000006</v>
      </c>
      <c r="B10">
        <f>A10-D$2</f>
        <v>-0.79999999999999716</v>
      </c>
      <c r="C10">
        <f t="shared" si="0"/>
        <v>0.63999999999999546</v>
      </c>
    </row>
    <row r="11" spans="1:4" x14ac:dyDescent="0.35">
      <c r="B11" t="s">
        <v>233</v>
      </c>
      <c r="C11">
        <f>SUM(C2:C10)</f>
        <v>63.360000000000007</v>
      </c>
    </row>
    <row r="12" spans="1:4" x14ac:dyDescent="0.35">
      <c r="A12" t="s">
        <v>215</v>
      </c>
      <c r="B12" t="s">
        <v>210</v>
      </c>
      <c r="C12">
        <f>C11/(COUNT(A2:A10)-1)</f>
        <v>7.9200000000000008</v>
      </c>
    </row>
    <row r="13" spans="1:4" x14ac:dyDescent="0.35">
      <c r="A13" t="s">
        <v>216</v>
      </c>
      <c r="C13">
        <f>SQRT(C12)</f>
        <v>2.8142494558940578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D3A9-1398-4960-9EEE-F21594CE6DD4}">
  <dimension ref="A1:B31"/>
  <sheetViews>
    <sheetView topLeftCell="A4" workbookViewId="0">
      <selection activeCell="B18" sqref="B18"/>
    </sheetView>
  </sheetViews>
  <sheetFormatPr defaultRowHeight="14.5" x14ac:dyDescent="0.35"/>
  <sheetData>
    <row r="1" spans="1:2" x14ac:dyDescent="0.35">
      <c r="A1" t="s">
        <v>17</v>
      </c>
    </row>
    <row r="2" spans="1:2" x14ac:dyDescent="0.35">
      <c r="A2">
        <v>2.544</v>
      </c>
    </row>
    <row r="3" spans="1:2" x14ac:dyDescent="0.35">
      <c r="A3">
        <v>7.28</v>
      </c>
    </row>
    <row r="4" spans="1:2" x14ac:dyDescent="0.35">
      <c r="A4">
        <v>8.56</v>
      </c>
    </row>
    <row r="5" spans="1:2" x14ac:dyDescent="0.35">
      <c r="A5">
        <v>9.6180000000000003</v>
      </c>
    </row>
    <row r="6" spans="1:2" x14ac:dyDescent="0.35">
      <c r="A6">
        <v>11.648</v>
      </c>
    </row>
    <row r="7" spans="1:2" x14ac:dyDescent="0.35">
      <c r="A7">
        <v>14.62</v>
      </c>
    </row>
    <row r="8" spans="1:2" x14ac:dyDescent="0.35">
      <c r="A8">
        <v>15.552</v>
      </c>
    </row>
    <row r="9" spans="1:2" x14ac:dyDescent="0.35">
      <c r="A9">
        <v>18.504000000000001</v>
      </c>
    </row>
    <row r="10" spans="1:2" x14ac:dyDescent="0.35">
      <c r="A10">
        <v>19.46</v>
      </c>
    </row>
    <row r="11" spans="1:2" x14ac:dyDescent="0.35">
      <c r="A11">
        <v>22.367999999999999</v>
      </c>
    </row>
    <row r="12" spans="1:2" x14ac:dyDescent="0.35">
      <c r="A12">
        <v>22.72</v>
      </c>
    </row>
    <row r="13" spans="1:2" x14ac:dyDescent="0.35">
      <c r="A13">
        <v>48.86</v>
      </c>
    </row>
    <row r="14" spans="1:2" x14ac:dyDescent="0.35">
      <c r="A14">
        <v>55.5</v>
      </c>
    </row>
    <row r="15" spans="1:2" x14ac:dyDescent="0.35">
      <c r="A15">
        <v>60.34</v>
      </c>
    </row>
    <row r="16" spans="1:2" x14ac:dyDescent="0.35">
      <c r="A16" s="2">
        <v>68.81</v>
      </c>
      <c r="B16">
        <f>SUM(A16:A17)</f>
        <v>140.18200000000002</v>
      </c>
    </row>
    <row r="17" spans="1:2" x14ac:dyDescent="0.35">
      <c r="A17" s="2">
        <v>71.372</v>
      </c>
      <c r="B17">
        <f>B16/2</f>
        <v>70.091000000000008</v>
      </c>
    </row>
    <row r="18" spans="1:2" x14ac:dyDescent="0.35">
      <c r="A18">
        <v>90.57</v>
      </c>
    </row>
    <row r="19" spans="1:2" x14ac:dyDescent="0.35">
      <c r="A19">
        <v>114.9</v>
      </c>
    </row>
    <row r="20" spans="1:2" x14ac:dyDescent="0.35">
      <c r="A20">
        <v>124.2</v>
      </c>
    </row>
    <row r="21" spans="1:2" x14ac:dyDescent="0.35">
      <c r="A21">
        <v>213.48</v>
      </c>
    </row>
    <row r="22" spans="1:2" x14ac:dyDescent="0.35">
      <c r="A22">
        <v>261.95999999999998</v>
      </c>
    </row>
    <row r="23" spans="1:2" x14ac:dyDescent="0.35">
      <c r="A23">
        <v>407.976</v>
      </c>
    </row>
    <row r="24" spans="1:2" x14ac:dyDescent="0.35">
      <c r="A24">
        <v>665.88</v>
      </c>
    </row>
    <row r="25" spans="1:2" x14ac:dyDescent="0.35">
      <c r="A25">
        <v>731.94</v>
      </c>
    </row>
    <row r="26" spans="1:2" x14ac:dyDescent="0.35">
      <c r="A26">
        <v>907.15200000000004</v>
      </c>
    </row>
    <row r="27" spans="1:2" x14ac:dyDescent="0.35">
      <c r="A27">
        <v>911.42399999999998</v>
      </c>
    </row>
    <row r="28" spans="1:2" x14ac:dyDescent="0.35">
      <c r="A28">
        <v>957.57749999999999</v>
      </c>
    </row>
    <row r="29" spans="1:2" x14ac:dyDescent="0.35">
      <c r="A29">
        <v>1044.6300000000001</v>
      </c>
    </row>
    <row r="30" spans="1:2" x14ac:dyDescent="0.35">
      <c r="A30">
        <v>1706.184</v>
      </c>
    </row>
    <row r="31" spans="1:2" x14ac:dyDescent="0.35">
      <c r="A31">
        <v>3083.43</v>
      </c>
    </row>
  </sheetData>
  <sortState xmlns:xlrd2="http://schemas.microsoft.com/office/spreadsheetml/2017/richdata2" ref="A2:A31">
    <sortCondition ref="A1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Statistical Analysis</vt:lpstr>
      <vt:lpstr>Measure of Spread</vt:lpstr>
      <vt:lpstr>Sheet1</vt:lpstr>
      <vt:lpstr>Median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</dc:creator>
  <cp:lastModifiedBy>Riddhi Dhakate</cp:lastModifiedBy>
  <dcterms:created xsi:type="dcterms:W3CDTF">2015-06-05T18:17:20Z</dcterms:created>
  <dcterms:modified xsi:type="dcterms:W3CDTF">2025-12-04T20:35:48Z</dcterms:modified>
</cp:coreProperties>
</file>